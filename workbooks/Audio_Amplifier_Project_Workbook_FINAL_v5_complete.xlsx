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Gantt" sheetId="2" state="visible" r:id="rId4"/>
    <sheet name="BOM" sheetId="3" state="visible" r:id="rId5"/>
    <sheet name="Report Breakdown" sheetId="4" state="visible" r:id="rId6"/>
    <sheet name="MB Phone Characterisation" sheetId="5" state="visible" r:id="rId7"/>
    <sheet name="Design Calculations" sheetId="6" state="visible" r:id="rId8"/>
    <sheet name="Play ground 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<sst xmlns="http://schemas.openxmlformats.org/spreadsheetml/2006/main" count="686" uniqueCount="384">
  <si>
    <t xml:space="preserve">AUDIO AMPLIFIER PROJECT WORKBOOK</t>
  </si>
  <si>
    <t xml:space="preserve">Live tracker + Gantt + BOM + design calculations</t>
  </si>
  <si>
    <t xml:space="preserve">Project window: 19 Jan 2026 to 20 Feb 2026</t>
  </si>
  <si>
    <t xml:space="preserve">How to use: Update task dates &amp; % complete in the Gantt sheet. Update purchase/received status in the BOM sheet. Dashboard updates automatically.</t>
  </si>
  <si>
    <t xml:space="preserve">Task Status</t>
  </si>
  <si>
    <t xml:space="preserve">Count</t>
  </si>
  <si>
    <t xml:space="preserve">Overall progress (%)</t>
  </si>
  <si>
    <t xml:space="preserve">Not Started</t>
  </si>
  <si>
    <t xml:space="preserve">Days remaining</t>
  </si>
  <si>
    <t xml:space="preserve">In Progress</t>
  </si>
  <si>
    <t xml:space="preserve">Tasks complete</t>
  </si>
  <si>
    <t xml:space="preserve">Done</t>
  </si>
  <si>
    <t xml:space="preserve">Blocked</t>
  </si>
  <si>
    <t xml:space="preserve">Key sign-offs / deliverables (from project guidance)</t>
  </si>
  <si>
    <t xml:space="preserve">Deliverable</t>
  </si>
  <si>
    <t xml:space="preserve">Planned date</t>
  </si>
  <si>
    <t xml:space="preserve">Status</t>
  </si>
  <si>
    <t xml:space="preserve">Notes</t>
  </si>
  <si>
    <t xml:space="preserve">% Complete</t>
  </si>
  <si>
    <t xml:space="preserve">Final schematic check</t>
  </si>
  <si>
    <t xml:space="preserve">Schematic DRC passed, all components correct</t>
  </si>
  <si>
    <t xml:space="preserve">Final PCB check</t>
  </si>
  <si>
    <t xml:space="preserve">DRC 0 errors, track widths T30/T40 confirmed</t>
  </si>
  <si>
    <t xml:space="preserve">PCB soldering check</t>
  </si>
  <si>
    <t xml:space="preserve">All components soldered, visual inspection passed</t>
  </si>
  <si>
    <t xml:space="preserve">Final test &amp; measurement</t>
  </si>
  <si>
    <t xml:space="preserve">Freq response, gain and waveform measurements complete</t>
  </si>
  <si>
    <t xml:space="preserve">Final audio check</t>
  </si>
  <si>
    <t xml:space="preserve">440 Hz tone audible through 8 Ω speaker, no distortion</t>
  </si>
  <si>
    <t xml:space="preserve">Report draft complete</t>
  </si>
  <si>
    <t xml:space="preserve">All sections written, figures and references complete</t>
  </si>
  <si>
    <t xml:space="preserve">Final report submitted</t>
  </si>
  <si>
    <t xml:space="preserve">Submitted to Blackboard as attempt 2 PDF</t>
  </si>
  <si>
    <t xml:space="preserve">Date</t>
  </si>
  <si>
    <t xml:space="preserve">Planned done</t>
  </si>
  <si>
    <t xml:space="preserve">Actual done</t>
  </si>
  <si>
    <t xml:space="preserve">Recommendations (so this stays smooth in Week 3–7)</t>
  </si>
  <si>
    <t xml:space="preserve">• Lock in your power plan early (9V vs 12V). Then choose switch, LED resistor, and connector to match.</t>
  </si>
  <si>
    <t xml:space="preserve">• Treat decoupling as 'non‑negotiable' (100 nF right next to each op‑amp supply pin) to avoid oscillation.</t>
  </si>
  <si>
    <t xml:space="preserve">• Use an 8 Ω speaker in an enclosure if possible — it’s the biggest improvement for perceived audio quality.</t>
  </si>
  <si>
    <t xml:space="preserve">• Do one AC sweep + one 440 Hz transient in Proteus for each major change, then export plots to Excel for the report.</t>
  </si>
  <si>
    <t xml:space="preserve">• Photograph each build stage (breadboard → PCB → final assembly) so the report is easy to write.</t>
  </si>
  <si>
    <t xml:space="preserve">BOM Status</t>
  </si>
  <si>
    <t xml:space="preserve">To Get</t>
  </si>
  <si>
    <t xml:space="preserve">To Buy</t>
  </si>
  <si>
    <t xml:space="preserve">Ordered</t>
  </si>
  <si>
    <t xml:space="preserve">Received</t>
  </si>
  <si>
    <t xml:space="preserve">Optional</t>
  </si>
  <si>
    <t xml:space="preserve">PROJECT GANTT CHART (LIVE)</t>
  </si>
  <si>
    <t xml:space="preserve">Edit Start/End/% Complete — bars update automatically</t>
  </si>
  <si>
    <t xml:space="preserve">19 Jan 2026 to 20 Feb 2026 (weekdays shown)</t>
  </si>
  <si>
    <t xml:space="preserve">Overall % (duration-weighted)</t>
  </si>
  <si>
    <t xml:space="preserve">Tip: Keep tasks small (1–3 days). Use Status + %Complete. For milestones set Start=End.</t>
  </si>
  <si>
    <t xml:space="preserve">Tasks done</t>
  </si>
  <si>
    <t xml:space="preserve">ID</t>
  </si>
  <si>
    <t xml:space="preserve">Task</t>
  </si>
  <si>
    <t xml:space="preserve">Category</t>
  </si>
  <si>
    <t xml:space="preserve">Owner</t>
  </si>
  <si>
    <t xml:space="preserve">Start</t>
  </si>
  <si>
    <t xml:space="preserve">End</t>
  </si>
  <si>
    <t xml:space="preserve">Duration (wd)</t>
  </si>
  <si>
    <t xml:space="preserve">Dependencies</t>
  </si>
  <si>
    <t xml:space="preserve">Mon</t>
  </si>
  <si>
    <t xml:space="preserve">Tue</t>
  </si>
  <si>
    <t xml:space="preserve">Wed</t>
  </si>
  <si>
    <t xml:space="preserve">Thu</t>
  </si>
  <si>
    <t xml:space="preserve">Fri</t>
  </si>
  <si>
    <t xml:space="preserve">T01</t>
  </si>
  <si>
    <t xml:space="preserve">Read brief + rubric + set up workbook</t>
  </si>
  <si>
    <t xml:space="preserve">Planning</t>
  </si>
  <si>
    <t xml:space="preserve">Zac</t>
  </si>
  <si>
    <t xml:space="preserve">Set up files / plan</t>
  </si>
  <si>
    <t xml:space="preserve">T02</t>
  </si>
  <si>
    <t xml:space="preserve">Week 3 self-study: TL071/OPA551 datasheets + active bandpass videos</t>
  </si>
  <si>
    <t xml:space="preserve">T03</t>
  </si>
  <si>
    <t xml:space="preserve">Mobile phone characterisation (440 Hz Vpp vs volume)</t>
  </si>
  <si>
    <t xml:space="preserve">Measurements</t>
  </si>
  <si>
    <t xml:space="preserve">T04</t>
  </si>
  <si>
    <t xml:space="preserve">Design calculations in Excel (gain, R1/R2, C1/C2, decoupling)</t>
  </si>
  <si>
    <t xml:space="preserve">Design</t>
  </si>
  <si>
    <t xml:space="preserve">Use Design Calculations sheet</t>
  </si>
  <si>
    <t xml:space="preserve">T05</t>
  </si>
  <si>
    <t xml:space="preserve">Proteus sim (dual supply): AC sweep + transient @ 440 Hz</t>
  </si>
  <si>
    <t xml:space="preserve">Simulation</t>
  </si>
  <si>
    <t xml:space="preserve">Capture plots for report</t>
  </si>
  <si>
    <t xml:space="preserve">M01</t>
  </si>
  <si>
    <t xml:space="preserve">Sign-off: Final schematic check</t>
  </si>
  <si>
    <t xml:space="preserve">Milestone</t>
  </si>
  <si>
    <t xml:space="preserve">T06</t>
  </si>
  <si>
    <t xml:space="preserve">Breadboard build (dual supply) + measurements</t>
  </si>
  <si>
    <t xml:space="preserve">Lab build/test</t>
  </si>
  <si>
    <t xml:space="preserve">Freq response + gain check</t>
  </si>
  <si>
    <t xml:space="preserve">T07</t>
  </si>
  <si>
    <t xml:space="preserve">Single-supply bias design + update schematic</t>
  </si>
  <si>
    <t xml:space="preserve">Bias network + AC coupling</t>
  </si>
  <si>
    <t xml:space="preserve">T08</t>
  </si>
  <si>
    <t xml:space="preserve">Proteus sim (single supply): stability + clipping check</t>
  </si>
  <si>
    <t xml:space="preserve">T09</t>
  </si>
  <si>
    <t xml:space="preserve">Breadboard build (single supply) + measurements</t>
  </si>
  <si>
    <t xml:space="preserve">T10</t>
  </si>
  <si>
    <t xml:space="preserve">Order / collect remaining parts (switch, LED, connectors, speaker/enclosure, power)</t>
  </si>
  <si>
    <t xml:space="preserve">Procurement</t>
  </si>
  <si>
    <t xml:space="preserve">T11</t>
  </si>
  <si>
    <t xml:space="preserve">PCB layout in Proteus + DRC</t>
  </si>
  <si>
    <t xml:space="preserve">PCB</t>
  </si>
  <si>
    <t xml:space="preserve">Include mounting holes</t>
  </si>
  <si>
    <t xml:space="preserve">M02</t>
  </si>
  <si>
    <t xml:space="preserve">Sign-off: Final PCB check</t>
  </si>
  <si>
    <t xml:space="preserve">T12</t>
  </si>
  <si>
    <t xml:space="preserve">PCB manufacture / print / prep (depends on process)</t>
  </si>
  <si>
    <t xml:space="preserve">M03</t>
  </si>
  <si>
    <t xml:space="preserve">Sign-off: PCB soldering check</t>
  </si>
  <si>
    <t xml:space="preserve">T13</t>
  </si>
  <si>
    <t xml:space="preserve">Final assembly on base plate + wiring tidy + strain relief</t>
  </si>
  <si>
    <t xml:space="preserve">Assembly</t>
  </si>
  <si>
    <t xml:space="preserve">M04</t>
  </si>
  <si>
    <t xml:space="preserve">Sign-off: Final test &amp; measurement</t>
  </si>
  <si>
    <t xml:space="preserve">M05</t>
  </si>
  <si>
    <t xml:space="preserve">Sign-off: Final audio check using speaker</t>
  </si>
  <si>
    <t xml:space="preserve">T14</t>
  </si>
  <si>
    <t xml:space="preserve">Report writing: screenshots, plots, BOM, reflection</t>
  </si>
  <si>
    <t xml:space="preserve">Report</t>
  </si>
  <si>
    <t xml:space="preserve">Keep within 15 pages</t>
  </si>
  <si>
    <t xml:space="preserve">M06</t>
  </si>
  <si>
    <t xml:space="preserve">Sign-off: Final report submitted</t>
  </si>
  <si>
    <t xml:space="preserve">Submit on Blackboard</t>
  </si>
  <si>
    <t xml:space="preserve">BILL OF MATERIALS (BOM)</t>
  </si>
  <si>
    <t xml:space="preserve">Includes university-provided and recommended purchased items</t>
  </si>
  <si>
    <t xml:space="preserve">Update Qty, Provided?, Status, Supplier, and Cost</t>
  </si>
  <si>
    <t xml:space="preserve">Tip: Mark Provided by Uni = Yes for items you collect from stock. Use Status to track buying. Total cost updates automatically.</t>
  </si>
  <si>
    <t xml:space="preserve">Component / Item</t>
  </si>
  <si>
    <t xml:space="preserve">Specification / Value</t>
  </si>
  <si>
    <t xml:space="preserve">Qty</t>
  </si>
  <si>
    <t xml:space="preserve">Provided by Uni?</t>
  </si>
  <si>
    <t xml:space="preserve">Supplier</t>
  </si>
  <si>
    <t xml:space="preserve">Part No / Link</t>
  </si>
  <si>
    <t xml:space="preserve">Unit Cost</t>
  </si>
  <si>
    <t xml:space="preserve">Total Cost</t>
  </si>
  <si>
    <t xml:space="preserve">Priority</t>
  </si>
  <si>
    <t xml:space="preserve">ICs</t>
  </si>
  <si>
    <t xml:space="preserve">TL071 op-amp</t>
  </si>
  <si>
    <t xml:space="preserve">TL071CP, DIP-8</t>
  </si>
  <si>
    <t xml:space="preserve">Yes</t>
  </si>
  <si>
    <t xml:space="preserve">Aston MB252</t>
  </si>
  <si>
    <t xml:space="preserve">TL071CP</t>
  </si>
  <si>
    <t xml:space="preserve">High</t>
  </si>
  <si>
    <t xml:space="preserve">U1 — inverting summing active BPF stage</t>
  </si>
  <si>
    <t xml:space="preserve">OPA551 power op-amp</t>
  </si>
  <si>
    <t xml:space="preserve">OPA551PA, DIP-8</t>
  </si>
  <si>
    <t xml:space="preserve">OPA551PA</t>
  </si>
  <si>
    <t xml:space="preserve">U2 — unity-gain current buffer, speaker driver</t>
  </si>
  <si>
    <t xml:space="preserve">Resistors</t>
  </si>
  <si>
    <t xml:space="preserve">R1 (feedback)</t>
  </si>
  <si>
    <t xml:space="preserve">82 kΩ, 0.25W metal film</t>
  </si>
  <si>
    <t xml:space="preserve">MF25_82k</t>
  </si>
  <si>
    <t xml:space="preserve">Sets upper end of gain ratio</t>
  </si>
  <si>
    <t xml:space="preserve">R2, R3, R4, R5 (gain + bias)</t>
  </si>
  <si>
    <t xml:space="preserve">24 kΩ, 0.25W metal film ×4</t>
  </si>
  <si>
    <t xml:space="preserve">MF25_24k</t>
  </si>
  <si>
    <t xml:space="preserve">R2=gain set; R3/R4=bias divider; R5=summing</t>
  </si>
  <si>
    <t xml:space="preserve">R6 (LED current limit)</t>
  </si>
  <si>
    <t xml:space="preserve">3.3 kΩ, 0.25W metal film</t>
  </si>
  <si>
    <t xml:space="preserve">MF25_3k3</t>
  </si>
  <si>
    <t xml:space="preserve">Limits LED current on 12V supply</t>
  </si>
  <si>
    <t xml:space="preserve">R7 (simulation load)</t>
  </si>
  <si>
    <t xml:space="preserve">8.2 Ω, 0.25W metal film</t>
  </si>
  <si>
    <t xml:space="preserve">MF25_8R2</t>
  </si>
  <si>
    <t xml:space="preserve">Med</t>
  </si>
  <si>
    <t xml:space="preserve">Proteus speaker substitute; not on final PCB speaker output</t>
  </si>
  <si>
    <t xml:space="preserve">Capacitors</t>
  </si>
  <si>
    <t xml:space="preserve">C1 (upper cut-off)</t>
  </si>
  <si>
    <t xml:space="preserve">68 pF ceramic</t>
  </si>
  <si>
    <t xml:space="preserve">CER_68P</t>
  </si>
  <si>
    <t xml:space="preserve">Sets fH = 28.54 kHz with R1</t>
  </si>
  <si>
    <t xml:space="preserve">C2, C6 (lower cut-off + input coupling)</t>
  </si>
  <si>
    <t xml:space="preserve">1 µF electrolytic ×2</t>
  </si>
  <si>
    <t xml:space="preserve">ELEC_1U</t>
  </si>
  <si>
    <t xml:space="preserve">C2 sets fL = 6.63 Hz; C6 AC input coupling</t>
  </si>
  <si>
    <t xml:space="preserve">C3, C4, C7 (decoupling)</t>
  </si>
  <si>
    <t xml:space="preserve">100 nF polyester film ×3</t>
  </si>
  <si>
    <t xml:space="preserve">POLY_100N</t>
  </si>
  <si>
    <t xml:space="preserve">Supply decoupling on U1 and U2 pins</t>
  </si>
  <si>
    <t xml:space="preserve">C5 (bulk decoupling)</t>
  </si>
  <si>
    <t xml:space="preserve">10 µF electrolytic</t>
  </si>
  <si>
    <t xml:space="preserve">ELEC_10U</t>
  </si>
  <si>
    <t xml:space="preserve">Bulk decoupling near OPA551 supply</t>
  </si>
  <si>
    <t xml:space="preserve">C8 (output coupling)</t>
  </si>
  <si>
    <t xml:space="preserve">2200 µF electrolytic</t>
  </si>
  <si>
    <t xml:space="preserve">ELEC_2200U</t>
  </si>
  <si>
    <t xml:space="preserve">DC blocks output; fC = 9.05 Hz with 8 Ω load</t>
  </si>
  <si>
    <t xml:space="preserve">Diodes</t>
  </si>
  <si>
    <t xml:space="preserve">D1 (power LED)</t>
  </si>
  <si>
    <t xml:space="preserve">Green 5mm LED</t>
  </si>
  <si>
    <t xml:space="preserve">LED-GREEN_A</t>
  </si>
  <si>
    <t xml:space="preserve">Power-on indicator</t>
  </si>
  <si>
    <t xml:space="preserve">D2, D3 (reverse polarity protection)</t>
  </si>
  <si>
    <t xml:space="preserve">1N4007 rectifier diode ×2</t>
  </si>
  <si>
    <t xml:space="preserve">1N4007</t>
  </si>
  <si>
    <t xml:space="preserve">Reverse polarity protection on supply rails</t>
  </si>
  <si>
    <t xml:space="preserve">Connectors</t>
  </si>
  <si>
    <t xml:space="preserve">J1 (stereo input jack)</t>
  </si>
  <si>
    <t xml:space="preserve">3.5mm stereo PCB jack socket</t>
  </si>
  <si>
    <t xml:space="preserve">JACK SOCKET</t>
  </si>
  <si>
    <t xml:space="preserve">iPhone audio input</t>
  </si>
  <si>
    <t xml:space="preserve">J2 (speaker terminal block)</t>
  </si>
  <si>
    <t xml:space="preserve">2-way 5.08mm terminal block</t>
  </si>
  <si>
    <t xml:space="preserve">TBLOCK-I2</t>
  </si>
  <si>
    <t xml:space="preserve">Speaker output connection</t>
  </si>
  <si>
    <t xml:space="preserve">Audio</t>
  </si>
  <si>
    <t xml:space="preserve">LS1 (speaker)</t>
  </si>
  <si>
    <t xml:space="preserve">8 Ω speaker</t>
  </si>
  <si>
    <t xml:space="preserve">SPEAKER_A</t>
  </si>
  <si>
    <t xml:space="preserve">Load for OPA551 output stage</t>
  </si>
  <si>
    <t xml:space="preserve">UI</t>
  </si>
  <si>
    <t xml:space="preserve">SW1 (on/off switch)</t>
  </si>
  <si>
    <t xml:space="preserve">PCB-mount SPST slide switch</t>
  </si>
  <si>
    <t xml:space="preserve">SLIDE-SPST_A</t>
  </si>
  <si>
    <t xml:space="preserve">Required by brief — power on/off</t>
  </si>
  <si>
    <t xml:space="preserve">Test Points</t>
  </si>
  <si>
    <t xml:space="preserve">TP1–TP5 (test pins)</t>
  </si>
  <si>
    <t xml:space="preserve">Test pin ×5</t>
  </si>
  <si>
    <t xml:space="preserve">TEST_PIN</t>
  </si>
  <si>
    <t xml:space="preserve">TP1=Bias, TP2=Stage1, TP3=Power, TP4=GND, TP5=Test</t>
  </si>
  <si>
    <t xml:space="preserve">Build</t>
  </si>
  <si>
    <t xml:space="preserve">Base plate + standoffs</t>
  </si>
  <si>
    <t xml:space="preserve">3mm acrylic baseplate, M3 nylon standoffs</t>
  </si>
  <si>
    <t xml:space="preserve">N/A</t>
  </si>
  <si>
    <t xml:space="preserve">PCB mounted at 4 corners with M3 nylon standoffs</t>
  </si>
  <si>
    <t xml:space="preserve">Speaker</t>
  </si>
  <si>
    <t xml:space="preserve">8 Ω, 3–5 W (recommended)</t>
  </si>
  <si>
    <t xml:space="preserve">No</t>
  </si>
  <si>
    <t xml:space="preserve">Better sound and safer load</t>
  </si>
  <si>
    <t xml:space="preserve">Speaker enclosure (optional)</t>
  </si>
  <si>
    <t xml:space="preserve">Small box or ready-made enclosure</t>
  </si>
  <si>
    <t xml:space="preserve">Low</t>
  </si>
  <si>
    <t xml:space="preserve">Improves audio a lot</t>
  </si>
  <si>
    <t xml:space="preserve">Base plate / mounting</t>
  </si>
  <si>
    <t xml:space="preserve">Uni-provided base mount + standoffs</t>
  </si>
  <si>
    <t xml:space="preserve">Must mount securely</t>
  </si>
  <si>
    <t xml:space="preserve">Hook-up wire</t>
  </si>
  <si>
    <t xml:space="preserve">Solid core + stranded</t>
  </si>
  <si>
    <t xml:space="preserve">Heatshrink + cable ties</t>
  </si>
  <si>
    <t xml:space="preserve">Assorted</t>
  </si>
  <si>
    <t xml:space="preserve">Neatness + strain relief</t>
  </si>
  <si>
    <t xml:space="preserve">Screws + standoffs</t>
  </si>
  <si>
    <t xml:space="preserve">M3 assorted kit</t>
  </si>
  <si>
    <t xml:space="preserve">Secure mounting</t>
  </si>
  <si>
    <t xml:space="preserve">Terminal block / speaker connector</t>
  </si>
  <si>
    <t xml:space="preserve">2-way</t>
  </si>
  <si>
    <t xml:space="preserve">Easier assembly</t>
  </si>
  <si>
    <t xml:space="preserve">Thermal</t>
  </si>
  <si>
    <t xml:space="preserve">Small heatsink (optional)</t>
  </si>
  <si>
    <t xml:space="preserve">Clip-on for DIP-8 or aluminium tab sink</t>
  </si>
  <si>
    <t xml:space="preserve">If OPA551 runs warm</t>
  </si>
  <si>
    <t xml:space="preserve">Estimated total cost</t>
  </si>
  <si>
    <t xml:space="preserve">Total</t>
  </si>
  <si>
    <t xml:space="preserve">REPORT BREAKDOWN (Parts B, D, E)</t>
  </si>
  <si>
    <t xml:space="preserve">Mapping to report sections + build/marking checklist + ordering placeholder</t>
  </si>
  <si>
    <t xml:space="preserve">Use: Copy/paste into report planning. Update if your design changes.</t>
  </si>
  <si>
    <t xml:space="preserve">Tip: This sheet is static notes/checklists. Your live schedule is in the Gantt sheet. Your parts list is in the BOM sheet.</t>
  </si>
  <si>
    <t xml:space="preserve">Overall completion</t>
  </si>
  <si>
    <t xml:space="preserve">B - Map each requirement to report sections</t>
  </si>
  <si>
    <t xml:space="preserve">Brief requirement</t>
  </si>
  <si>
    <t xml:space="preserve">Where I cover it in my report</t>
  </si>
  <si>
    <t xml:space="preserve">Report section</t>
  </si>
  <si>
    <t xml:space="preserve">Status score</t>
  </si>
  <si>
    <t xml:space="preserve">Power requirement (9 V or 12 V)</t>
  </si>
  <si>
    <t xml:space="preserve">Power supply design and biasing strategy, decoupling</t>
  </si>
  <si>
    <t xml:space="preserve">Base plate mounting</t>
  </si>
  <si>
    <t xml:space="preserve">Mechanical construction, photos, safety and wiring</t>
  </si>
  <si>
    <t xml:space="preserve">On/off switch and power LED</t>
  </si>
  <si>
    <t xml:space="preserve">User interface, schematic snippet, LED resistor choice</t>
  </si>
  <si>
    <t xml:space="preserve">TL071 summing and filtering</t>
  </si>
  <si>
    <t xml:space="preserve">Signal processing stage, calculations, frequency response plot</t>
  </si>
  <si>
    <t xml:space="preserve">OPA551 speaker driver</t>
  </si>
  <si>
    <t xml:space="preserve">Power stage design, load considerations, output swing checks</t>
  </si>
  <si>
    <t xml:space="preserve">University provided components</t>
  </si>
  <si>
    <t xml:space="preserve">Bill of materials, stock part selection</t>
  </si>
  <si>
    <t xml:space="preserve">Reuse and sustainability</t>
  </si>
  <si>
    <t xml:space="preserve">Design considerations and sustainability notes</t>
  </si>
  <si>
    <t xml:space="preserve">Keep device after marking</t>
  </si>
  <si>
    <t xml:space="preserve">Conclusion, reflection, portfolio value</t>
  </si>
  <si>
    <t xml:space="preserve">D - Build and marking checklist</t>
  </si>
  <si>
    <t xml:space="preserve">Electrical</t>
  </si>
  <si>
    <t xml:space="preserve">Section</t>
  </si>
  <si>
    <t xml:space="preserve">•</t>
  </si>
  <si>
    <t xml:space="preserve">Stereo inputs summed safely (L + R) using resistors into the TL071 summing node</t>
  </si>
  <si>
    <t xml:space="preserve">Active band-pass filter meets my target cut-offs after rounding to stock parts</t>
  </si>
  <si>
    <t xml:space="preserve">Mechanical</t>
  </si>
  <si>
    <t xml:space="preserve">Mid-band gain meets target output without clipping</t>
  </si>
  <si>
    <t xml:space="preserve">User</t>
  </si>
  <si>
    <t xml:space="preserve">OPA551 configured to provide current drive into an 8 Ω speaker load</t>
  </si>
  <si>
    <t xml:space="preserve">Documentation</t>
  </si>
  <si>
    <t xml:space="preserve">Power supply decoupling fitted close to IC pins</t>
  </si>
  <si>
    <t xml:space="preserve">PCB or board securely fixed to the base plate</t>
  </si>
  <si>
    <t xml:space="preserve">Speaker securely fixed and wired safely</t>
  </si>
  <si>
    <t xml:space="preserve">Battery holder or DC jack securely fixed</t>
  </si>
  <si>
    <t xml:space="preserve">Wiring tidy, strain relieved, and labelled where needed</t>
  </si>
  <si>
    <t xml:space="preserve">On/off switch is accessible and clearly labelled</t>
  </si>
  <si>
    <t xml:space="preserve">Power LED is visible and current limited</t>
  </si>
  <si>
    <t xml:space="preserve">Excel sheets saved and referenced</t>
  </si>
  <si>
    <t xml:space="preserve">Proteus plots and screenshots captured</t>
  </si>
  <si>
    <t xml:space="preserve">Photos taken at key build stages</t>
  </si>
  <si>
    <t xml:space="preserve">Final block diagram included</t>
  </si>
  <si>
    <t xml:space="preserve">E - Items ordered / acquired for build</t>
  </si>
  <si>
    <t xml:space="preserve">All components were sourced from Aston University MB252 stock (Richard Reeves). Items collected: TL071CP, OPA551PA, MF25 resistors (82k, 24k×4, 3k3, 8R2), CER_68P, ELEC_1U×2, POLY_100N×3, ELEC_10U, ELEC_2200U, LED-GREEN_A, 1N4007×2, JACK SOCKET, TBLOCK-I2, SPEAKER_A, SLIDE-SPST_A, TEST_PIN×5, base plate and M3 nylon standoffs. No external purchases were required. All items received prior to PCB assembly.</t>
  </si>
  <si>
    <t xml:space="preserve">Volume (Steps 1-16)</t>
  </si>
  <si>
    <t xml:space="preserve">Vpp(440Hz)</t>
  </si>
  <si>
    <t xml:space="preserve">Vpp(440Hz) - Simplified [V]</t>
  </si>
  <si>
    <t xml:space="preserve">Abs diff to 70% target</t>
  </si>
  <si>
    <t xml:space="preserve">70% Point (Step)</t>
  </si>
  <si>
    <t xml:space="preserve">70% Target Vpp [V]</t>
  </si>
  <si>
    <t xml:space="preserve">Chosen step Vpp [V]</t>
  </si>
  <si>
    <t xml:space="preserve">Error (Chosen - Target) [V]</t>
  </si>
  <si>
    <t xml:space="preserve">% Error</t>
  </si>
  <si>
    <t xml:space="preserve">Source and test conditions</t>
  </si>
  <si>
    <t xml:space="preserve">X (70% line and chosen point)</t>
  </si>
  <si>
    <t xml:space="preserve">Y [V] (70% line and chosen point)</t>
  </si>
  <si>
    <t xml:space="preserve">48.00mV</t>
  </si>
  <si>
    <t xml:space="preserve">Source device</t>
  </si>
  <si>
    <t xml:space="preserve">iPhone 14 Pro Max</t>
  </si>
  <si>
    <t xml:space="preserve">Test tone frequency [Hz]</t>
  </si>
  <si>
    <t xml:space="preserve">Volume scale</t>
  </si>
  <si>
    <t xml:space="preserve">Steps 1 to 16</t>
  </si>
  <si>
    <t xml:space="preserve">Chosen design point</t>
  </si>
  <si>
    <t xml:space="preserve">70% of max Vpp</t>
  </si>
  <si>
    <t xml:space="preserve">Max measured Vpp [V]</t>
  </si>
  <si>
    <t xml:space="preserve">70% target Vpp [V]</t>
  </si>
  <si>
    <t xml:space="preserve">56.00mV</t>
  </si>
  <si>
    <t xml:space="preserve">Closest volume step / Chosen design volume setting</t>
  </si>
  <si>
    <t xml:space="preserve">72.00mV</t>
  </si>
  <si>
    <t xml:space="preserve">104.0mV</t>
  </si>
  <si>
    <t xml:space="preserve">152.0mV</t>
  </si>
  <si>
    <t xml:space="preserve">Percent error</t>
  </si>
  <si>
    <t xml:space="preserve">208.0mV</t>
  </si>
  <si>
    <t xml:space="preserve">Chosen step Vrms [V]</t>
  </si>
  <si>
    <t xml:space="preserve">320.0mV</t>
  </si>
  <si>
    <t xml:space="preserve">Vin (chosen step) Vpp [V]</t>
  </si>
  <si>
    <t xml:space="preserve">448.0mV</t>
  </si>
  <si>
    <t xml:space="preserve">Vin (chosen step) Vrms [V]</t>
  </si>
  <si>
    <t xml:space="preserve">624.0mV</t>
  </si>
  <si>
    <t xml:space="preserve">872.0mV</t>
  </si>
  <si>
    <t xml:space="preserve">1.224V</t>
  </si>
  <si>
    <t xml:space="preserve">Names / Parameters</t>
  </si>
  <si>
    <t xml:space="preserve">Values</t>
  </si>
  <si>
    <t xml:space="preserve">Units</t>
  </si>
  <si>
    <t xml:space="preserve">Real component name (Proteus Aston name)</t>
  </si>
  <si>
    <t xml:space="preserve">Phone input values (rows 3–6)</t>
  </si>
  <si>
    <t xml:space="preserve">Max phone Vpp</t>
  </si>
  <si>
    <t xml:space="preserve">V</t>
  </si>
  <si>
    <t xml:space="preserve">0.7 phone Vpp target</t>
  </si>
  <si>
    <t xml:space="preserve">Chosen design Vin Vpp</t>
  </si>
  <si>
    <t xml:space="preserve">Chosen design Vin Vrms</t>
  </si>
  <si>
    <t xml:space="preserve">Gain / resistor results (rows 8–16)</t>
  </si>
  <si>
    <t xml:space="preserve">Target Vout Vpp (spec)</t>
  </si>
  <si>
    <t xml:space="preserve">Required gain (V/V)</t>
  </si>
  <si>
    <t xml:space="preserve">V/V</t>
  </si>
  <si>
    <t xml:space="preserve">Required gain (dB)</t>
  </si>
  <si>
    <t xml:space="preserve">dB</t>
  </si>
  <si>
    <t xml:space="preserve">R1 (given feedback)</t>
  </si>
  <si>
    <t xml:space="preserve">Ohms</t>
  </si>
  <si>
    <t xml:space="preserve">R2 calculated (input)</t>
  </si>
  <si>
    <t xml:space="preserve">R2 rounded (chosen)</t>
  </si>
  <si>
    <t xml:space="preserve">Actual gain (using rounded R2)</t>
  </si>
  <si>
    <t xml:space="preserve">Actual gain (dB)</t>
  </si>
  <si>
    <t xml:space="preserve">Lower cut-off section (rows 18–21)</t>
  </si>
  <si>
    <t xml:space="preserve">Lower cut-off frequency fl (given)</t>
  </si>
  <si>
    <t xml:space="preserve">Hz</t>
  </si>
  <si>
    <t xml:space="preserve">C2 calculated</t>
  </si>
  <si>
    <t xml:space="preserve">F</t>
  </si>
  <si>
    <t xml:space="preserve">C2 rounded (chosen)</t>
  </si>
  <si>
    <t xml:space="preserve">Actual fl</t>
  </si>
  <si>
    <t xml:space="preserve">Upper cut-off section (rows 23–26)</t>
  </si>
  <si>
    <t xml:space="preserve">Upper cut-off frequency fu (chosen)</t>
  </si>
  <si>
    <t xml:space="preserve">C1 calculated</t>
  </si>
  <si>
    <t xml:space="preserve">C1 rounded (chosen)</t>
  </si>
  <si>
    <t xml:space="preserve">Actual fu</t>
  </si>
  <si>
    <t xml:space="preserve">Decoupling caps (rows 28–35)</t>
  </si>
  <si>
    <t xml:space="preserve">C+ decouple (TL071 +V to 0V)</t>
  </si>
  <si>
    <t xml:space="preserve">C- decouple (TL071 -V to 0V)</t>
  </si>
  <si>
    <t xml:space="preserve">OPA551 decouple +V to 0V</t>
  </si>
  <si>
    <t xml:space="preserve">OPA551 decouple -V to 0V</t>
  </si>
  <si>
    <t xml:space="preserve">OPA551 bulk +V to 0V</t>
  </si>
  <si>
    <t xml:space="preserve">OPA551 bulk -V to 0V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</si>
</sst>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%"/>
    <numFmt numFmtId="166" formatCode="General"/>
    <numFmt numFmtId="167" formatCode="d\-mmm\-yy"/>
    <numFmt numFmtId="168" formatCode="d\-mmm"/>
    <numFmt numFmtId="169" formatCode="\£#,##0.00"/>
    <numFmt numFmtId="170" formatCode="0.0000"/>
    <numFmt numFmtId="171" formatCode="0.00%"/>
    <numFmt numFmtId="172" formatCode="0"/>
    <numFmt numFmtId="173" formatCode="0.00000"/>
    <numFmt numFmtId="174" formatCode="0.000"/>
    <numFmt numFmtId="175" formatCode="0.00E+0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5B2C6F"/>
      <name val="Calibri"/>
      <family val="0"/>
      <charset val="1"/>
    </font>
    <font>
      <i val="true"/>
      <sz val="11"/>
      <color rgb="FF5B2C6F"/>
      <name val="Calibri"/>
      <family val="0"/>
      <charset val="1"/>
    </font>
    <font>
      <sz val="11"/>
      <color rgb="FF555555"/>
      <name val="Calibri"/>
      <family val="0"/>
      <charset val="1"/>
    </font>
    <font>
      <sz val="11"/>
      <color rgb="FF343A40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0B7285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5B2C6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5B2C6F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E9ECEF"/>
        <bgColor rgb="FFF3F0FF"/>
      </patternFill>
    </fill>
    <fill>
      <patternFill patternType="solid">
        <fgColor rgb="FFE6FCF5"/>
        <bgColor rgb="FFF8F9FA"/>
      </patternFill>
    </fill>
    <fill>
      <patternFill patternType="solid">
        <fgColor rgb="FF5B2C6F"/>
        <bgColor rgb="FF5C3D99"/>
      </patternFill>
    </fill>
    <fill>
      <patternFill patternType="solid">
        <fgColor rgb="FF5C3D99"/>
        <bgColor rgb="FF5B2C6F"/>
      </patternFill>
    </fill>
    <fill>
      <patternFill patternType="solid">
        <fgColor rgb="FFF3F0FF"/>
        <bgColor rgb="FFF8F9FA"/>
      </patternFill>
    </fill>
    <fill>
      <patternFill patternType="solid">
        <fgColor rgb="FFD7BDE2"/>
        <bgColor rgb="FFD9D9D9"/>
      </patternFill>
    </fill>
    <fill>
      <patternFill patternType="solid">
        <fgColor rgb="FF339933"/>
        <bgColor rgb="FF008000"/>
      </patternFill>
    </fill>
    <fill>
      <patternFill patternType="solid">
        <fgColor rgb="FFFFFF00"/>
        <bgColor rgb="FFFFD43B"/>
      </patternFill>
    </fill>
    <fill>
      <patternFill patternType="solid">
        <fgColor rgb="FFF8F9FA"/>
        <bgColor rgb="FFFFFFFF"/>
      </patternFill>
    </fill>
    <fill>
      <patternFill patternType="solid">
        <fgColor rgb="FF00B0F0"/>
        <bgColor rgb="FF4299B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>
          <bgColor rgb="FF69DB7C"/>
        </patternFill>
      </fill>
    </dxf>
    <dxf>
      <fill>
        <patternFill>
          <bgColor rgb="FFFFD43B"/>
        </patternFill>
      </fill>
    </dxf>
    <dxf>
      <fill>
        <patternFill>
          <bgColor rgb="FFDEE2E6"/>
        </patternFill>
      </fill>
    </dxf>
    <dxf>
      <fill>
        <patternFill>
          <bgColor rgb="FF69DB7C"/>
        </patternFill>
      </fill>
    </dxf>
    <dxf>
      <fill>
        <patternFill>
          <bgColor rgb="FFFFE066"/>
        </patternFill>
      </fill>
    </dxf>
    <dxf>
      <fill>
        <patternFill>
          <bgColor rgb="FFFF6B6B"/>
        </patternFill>
      </fill>
    </dxf>
    <dxf>
      <fill>
        <patternFill>
          <bgColor rgb="FFFFA94D"/>
        </patternFill>
      </fill>
    </dxf>
    <dxf>
      <fill>
        <patternFill>
          <bgColor rgb="FFFFA94D"/>
        </patternFill>
      </fill>
    </dxf>
    <dxf>
      <fill>
        <patternFill>
          <bgColor rgb="FFDEE2E6"/>
        </patternFill>
      </fill>
    </dxf>
    <dxf>
      <fill>
        <patternFill>
          <bgColor rgb="FFFF6B6B"/>
        </patternFill>
      </fill>
    </dxf>
    <dxf>
      <fill>
        <patternFill>
          <bgColor rgb="FF74C0FC"/>
        </patternFill>
      </fill>
    </dxf>
    <dxf>
      <fill>
        <patternFill>
          <bgColor rgb="FFFFD8A8"/>
        </patternFill>
      </fill>
    </dxf>
    <dxf>
      <fill>
        <patternFill>
          <bgColor rgb="FFB197FC"/>
        </patternFill>
      </fill>
    </dxf>
  </dxfs>
  <colors>
    <indexedColors>
      <rgbColor rgb="FF000000"/>
      <rgbColor rgb="FFFFFFFF"/>
      <rgbColor rgb="FFFF0000"/>
      <rgbColor rgb="FF69DB7C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0B7285"/>
      <rgbColor rgb="FFD9D9D9"/>
      <rgbColor rgb="FF878787"/>
      <rgbColor rgb="FFB197FC"/>
      <rgbColor rgb="FFAB4744"/>
      <rgbColor rgb="FFF8F9FA"/>
      <rgbColor rgb="FFE6FCF5"/>
      <rgbColor rgb="FF5B2C6F"/>
      <rgbColor rgb="FFFF6B6B"/>
      <rgbColor rgb="FF0066CC"/>
      <rgbColor rgb="FFD7BDE2"/>
      <rgbColor rgb="FF000080"/>
      <rgbColor rgb="FFFF00FF"/>
      <rgbColor rgb="FFF3F0FF"/>
      <rgbColor rgb="FF00FFFF"/>
      <rgbColor rgb="FF800080"/>
      <rgbColor rgb="FF800000"/>
      <rgbColor rgb="FF4F81BD"/>
      <rgbColor rgb="FF0000FF"/>
      <rgbColor rgb="FF00B0F0"/>
      <rgbColor rgb="FFE9ECEF"/>
      <rgbColor rgb="FFDEE2E6"/>
      <rgbColor rgb="FFFFE066"/>
      <rgbColor rgb="FF74C0FC"/>
      <rgbColor rgb="FFD09493"/>
      <rgbColor rgb="FF8064A2"/>
      <rgbColor rgb="FFFFD8A8"/>
      <rgbColor rgb="FF4672A8"/>
      <rgbColor rgb="FF4299B0"/>
      <rgbColor rgb="FF9BBB59"/>
      <rgbColor rgb="FFFFD43B"/>
      <rgbColor rgb="FFFFA94D"/>
      <rgbColor rgb="FFDC853E"/>
      <rgbColor rgb="FF725990"/>
      <rgbColor rgb="FF93A9CE"/>
      <rgbColor rgb="FF003366"/>
      <rgbColor rgb="FF339933"/>
      <rgbColor rgb="FF003300"/>
      <rgbColor rgb="FF555555"/>
      <rgbColor rgb="FF993300"/>
      <rgbColor rgb="FFC0504D"/>
      <rgbColor rgb="FF5C3D99"/>
      <rgbColor rgb="FF343A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  <a:ea typeface="Calibri"/>
              </a:rPr>
              <a:t>Task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Gantt!$P$4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numFmt formatCode="General" sourceLinked="1"/>
            <c:dLbl>
              <c:idx val="0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1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2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dLbl>
              <c:idx val="3"/>
              <c:numFmt formatCode="General" sourceLinked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1"/>
              <c:showVal val="1"/>
              <c:showCatName val="1"/>
              <c:showSerName val="1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Gantt!$O$5:$O$8</c:f>
              <c:strCache>
                <c:ptCount val="4"/>
                <c:pt idx="0">
                  <c:v>Not Started</c:v>
                </c:pt>
                <c:pt idx="1">
                  <c:v>In Progress</c:v>
                </c:pt>
                <c:pt idx="2">
                  <c:v>Done</c:v>
                </c:pt>
                <c:pt idx="3">
                  <c:v>Blocked</c:v>
                </c:pt>
              </c:strCache>
            </c:strRef>
          </c:cat>
          <c:val>
            <c:numRef>
              <c:f>Gantt!$P$5:$P$8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35295267"/>
        <c:axId val="23099888"/>
      </c:barChart>
      <c:catAx>
        <c:axId val="352952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23099888"/>
        <c:auto val="1"/>
        <c:lblAlgn val="ctr"/>
        <c:lblOffset val="100"/>
        <c:noMultiLvlLbl val="0"/>
      </c:catAx>
      <c:valAx>
        <c:axId val="23099888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5295267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  <a:ea typeface="Calibri"/>
              </a:rPr>
              <a:t>Checklist Completion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'Report Breakdown'!$P$22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Breakdown'!$O$23:$O$26</c:f>
              <c:strCache>
                <c:ptCount val="4"/>
                <c:pt idx="0">
                  <c:v>Electrical</c:v>
                </c:pt>
                <c:pt idx="1">
                  <c:v>Mechanical</c:v>
                </c:pt>
                <c:pt idx="2">
                  <c:v>User</c:v>
                </c:pt>
                <c:pt idx="3">
                  <c:v>Documentation</c:v>
                </c:pt>
              </c:strCache>
            </c:strRef>
          </c:cat>
          <c:val>
            <c:numRef>
              <c:f>'Report Breakdown'!$P$23:$P$26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64551392"/>
        <c:axId val="30291217"/>
      </c:barChart>
      <c:catAx>
        <c:axId val="645513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0291217"/>
        <c:auto val="1"/>
        <c:lblAlgn val="ctr"/>
        <c:lblOffset val="100"/>
        <c:noMultiLvlLbl val="0"/>
      </c:catAx>
      <c:valAx>
        <c:axId val="30291217"/>
        <c:scaling>
          <c:orientation val="minMax"/>
          <c:max val="1"/>
          <c:min val="0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4551392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lang="en-GB" sz="18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  <a:r>
              <a:rPr b="1" lang="en-GB" sz="1800" spc="-1" strike="noStrike">
                <a:solidFill>
                  <a:srgbClr val="000000"/>
                </a:solidFill>
                <a:latin typeface="Calibri"/>
                <a:ea typeface="Calibri"/>
              </a:rPr>
              <a:t>Report Writing Progress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strRef>
              <c:f>'Report Breakdown'!$P$9</c:f>
              <c:strCache>
                <c:ptCount val="1"/>
                <c:pt idx="0">
                  <c:v>Status score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5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6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7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'Report Breakdown'!$O$10:$O$17</c:f>
              <c:strCache>
                <c:ptCount val="8"/>
                <c:pt idx="0">
                  <c:v>Power requirement (9 V or 12 V)</c:v>
                </c:pt>
                <c:pt idx="1">
                  <c:v>Base plate mounting</c:v>
                </c:pt>
                <c:pt idx="2">
                  <c:v>On/off switch and power LED</c:v>
                </c:pt>
                <c:pt idx="3">
                  <c:v>TL071 summing and filtering</c:v>
                </c:pt>
                <c:pt idx="4">
                  <c:v>OPA551 speaker driver</c:v>
                </c:pt>
                <c:pt idx="5">
                  <c:v>University provided components</c:v>
                </c:pt>
                <c:pt idx="6">
                  <c:v>Reuse and sustainability</c:v>
                </c:pt>
                <c:pt idx="7">
                  <c:v>Keep device after marking</c:v>
                </c:pt>
              </c:strCache>
            </c:strRef>
          </c:cat>
          <c:val>
            <c:numRef>
              <c:f>'Report Breakdown'!$P$10:$P$17</c:f>
              <c:numCache>
                <c:formatCode>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</c:ser>
        <c:gapWidth val="150"/>
        <c:overlap val="0"/>
        <c:axId val="52253148"/>
        <c:axId val="6257561"/>
      </c:barChart>
      <c:catAx>
        <c:axId val="522531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257561"/>
        <c:auto val="1"/>
        <c:lblAlgn val="ctr"/>
        <c:lblOffset val="100"/>
        <c:noMultiLvlLbl val="0"/>
      </c:catAx>
      <c:valAx>
        <c:axId val="6257561"/>
        <c:scaling>
          <c:orientation val="minMax"/>
          <c:max val="1"/>
          <c:min val="0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lang="en-GB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  <a:r>
                  <a:rPr b="1" lang="en-GB" sz="1000" spc="-1" strike="noStrike">
                    <a:solidFill>
                      <a:srgbClr val="000000"/>
                    </a:solidFill>
                    <a:latin typeface="Calibri"/>
                    <a:ea typeface="Calibri"/>
                  </a:rPr>
                  <a:t>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52253148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  <a:ea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781200</xdr:colOff>
      <xdr:row>29</xdr:row>
      <xdr:rowOff>19080</xdr:rowOff>
    </xdr:from>
    <xdr:to>
      <xdr:col>16</xdr:col>
      <xdr:colOff>6840</xdr:colOff>
      <xdr:row>43</xdr:row>
      <xdr:rowOff>114120</xdr:rowOff>
    </xdr:to>
    <xdr:graphicFrame>
      <xdr:nvGraphicFramePr>
        <xdr:cNvPr id="0" name="Chart 1"/>
        <xdr:cNvGraphicFramePr/>
      </xdr:nvGraphicFramePr>
      <xdr:xfrm>
        <a:off x="9520200" y="8696520"/>
        <a:ext cx="4571640" cy="2761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27</xdr:row>
      <xdr:rowOff>0</xdr:rowOff>
    </xdr:from>
    <xdr:to>
      <xdr:col>18</xdr:col>
      <xdr:colOff>277560</xdr:colOff>
      <xdr:row>35</xdr:row>
      <xdr:rowOff>178560</xdr:rowOff>
    </xdr:to>
    <xdr:graphicFrame>
      <xdr:nvGraphicFramePr>
        <xdr:cNvPr id="1" name="Chart 1"/>
        <xdr:cNvGraphicFramePr/>
      </xdr:nvGraphicFramePr>
      <xdr:xfrm>
        <a:off x="19454040" y="720108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476280</xdr:colOff>
      <xdr:row>37</xdr:row>
      <xdr:rowOff>107280</xdr:rowOff>
    </xdr:from>
    <xdr:to>
      <xdr:col>18</xdr:col>
      <xdr:colOff>48960</xdr:colOff>
      <xdr:row>45</xdr:row>
      <xdr:rowOff>257040</xdr:rowOff>
    </xdr:to>
    <xdr:graphicFrame>
      <xdr:nvGraphicFramePr>
        <xdr:cNvPr id="2" name="Chart 2"/>
        <xdr:cNvGraphicFramePr/>
      </xdr:nvGraphicFramePr>
      <xdr:xfrm>
        <a:off x="19225440" y="984168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9.29"/>
    <col collapsed="false" customWidth="true" hidden="false" outlineLevel="0" max="2" min="2" style="1" width="12.71"/>
    <col collapsed="false" customWidth="true" hidden="false" outlineLevel="0" max="3" min="3" style="1" width="6.43"/>
    <col collapsed="false" customWidth="true" hidden="false" outlineLevel="0" max="4" min="4" style="1" width="6.29"/>
    <col collapsed="false" customWidth="true" hidden="false" outlineLevel="0" max="5" min="5" style="1" width="8.57"/>
    <col collapsed="false" customWidth="true" hidden="false" outlineLevel="0" max="6" min="6" style="1" width="11.29"/>
    <col collapsed="false" customWidth="true" hidden="false" outlineLevel="0" max="7" min="7" style="1" width="13.42"/>
    <col collapsed="false" customWidth="true" hidden="false" outlineLevel="0" max="8" min="8" style="1" width="11.57"/>
  </cols>
  <sheetData>
    <row r="1" customFormat="false" ht="23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customFormat="false" ht="15" hidden="false" customHeight="true" outlineLevel="0" collapsed="false">
      <c r="A5" s="5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customFormat="false" ht="15" hidden="false" customHeight="false" outlineLevel="0" collapsed="false">
      <c r="F6" s="6" t="s">
        <v>4</v>
      </c>
      <c r="G6" s="6" t="s">
        <v>5</v>
      </c>
    </row>
    <row r="7" customFormat="false" ht="15" hidden="false" customHeight="false" outlineLevel="0" collapsed="false">
      <c r="A7" s="7" t="s">
        <v>6</v>
      </c>
      <c r="B7" s="8" t="n">
        <f aca="false">IFERROR(Gantt!$N$4,0)</f>
        <v>1</v>
      </c>
      <c r="F7" s="6" t="s">
        <v>7</v>
      </c>
      <c r="G7" s="6" t="n">
        <f aca="false">COUNTIF(Gantt!$I$9:$I$200,"Not Started")</f>
        <v>0</v>
      </c>
    </row>
    <row r="8" customFormat="false" ht="15" hidden="false" customHeight="false" outlineLevel="0" collapsed="false">
      <c r="A8" s="7" t="s">
        <v>8</v>
      </c>
      <c r="B8" s="9" t="n">
        <f aca="true">MAX(0,DATE(2026,2,13)-TODAY())</f>
        <v>0</v>
      </c>
      <c r="F8" s="1" t="s">
        <v>9</v>
      </c>
      <c r="G8" s="1" t="n">
        <f aca="false">COUNTIF(Gantt!$I$9:$I$200,"In Progress")</f>
        <v>0</v>
      </c>
    </row>
    <row r="9" customFormat="false" ht="15" hidden="false" customHeight="false" outlineLevel="0" collapsed="false">
      <c r="A9" s="7" t="s">
        <v>10</v>
      </c>
      <c r="B9" s="9" t="n">
        <f aca="false">Gantt!$N$5</f>
        <v>20</v>
      </c>
      <c r="F9" s="1" t="s">
        <v>11</v>
      </c>
      <c r="G9" s="1" t="n">
        <f aca="false">COUNTIF(Gantt!$I$9:$I$200,"Done")</f>
        <v>20</v>
      </c>
    </row>
    <row r="10" customFormat="false" ht="15" hidden="false" customHeight="false" outlineLevel="0" collapsed="false">
      <c r="F10" s="1" t="s">
        <v>12</v>
      </c>
      <c r="G10" s="1" t="n">
        <f aca="false">COUNTIF(Gantt!$I$9:$I$200,"Blocked")</f>
        <v>0</v>
      </c>
    </row>
    <row r="11" customFormat="false" ht="15" hidden="false" customHeight="false" outlineLevel="0" collapsed="false">
      <c r="A11" s="10" t="s">
        <v>13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</row>
    <row r="12" customFormat="false" ht="45" hidden="false" customHeight="true" outlineLevel="0" collapsed="false">
      <c r="A12" s="11" t="s">
        <v>14</v>
      </c>
      <c r="B12" s="11" t="s">
        <v>15</v>
      </c>
      <c r="C12" s="11" t="s">
        <v>16</v>
      </c>
      <c r="D12" s="11" t="s">
        <v>17</v>
      </c>
      <c r="E12" s="11" t="s">
        <v>18</v>
      </c>
    </row>
    <row r="13" customFormat="false" ht="45" hidden="false" customHeight="true" outlineLevel="0" collapsed="false">
      <c r="A13" s="12" t="s">
        <v>19</v>
      </c>
      <c r="B13" s="13" t="n">
        <v>46049</v>
      </c>
      <c r="C13" s="12" t="s">
        <v>11</v>
      </c>
      <c r="D13" s="12" t="s">
        <v>20</v>
      </c>
      <c r="E13" s="14" t="n">
        <v>1</v>
      </c>
    </row>
    <row r="14" customFormat="false" ht="108.95" hidden="false" customHeight="false" outlineLevel="0" collapsed="false">
      <c r="A14" s="12" t="s">
        <v>21</v>
      </c>
      <c r="B14" s="13" t="n">
        <v>46063</v>
      </c>
      <c r="C14" s="12" t="s">
        <v>11</v>
      </c>
      <c r="D14" s="12" t="s">
        <v>22</v>
      </c>
      <c r="E14" s="14" t="n">
        <v>1</v>
      </c>
    </row>
    <row r="15" customFormat="false" ht="149.25" hidden="false" customHeight="false" outlineLevel="0" collapsed="false">
      <c r="A15" s="12" t="s">
        <v>23</v>
      </c>
      <c r="B15" s="13" t="n">
        <v>46067</v>
      </c>
      <c r="C15" s="12" t="s">
        <v>11</v>
      </c>
      <c r="D15" s="12" t="s">
        <v>24</v>
      </c>
      <c r="E15" s="14" t="n">
        <v>1</v>
      </c>
    </row>
    <row r="16" customFormat="false" ht="162.65" hidden="false" customHeight="false" outlineLevel="0" collapsed="false">
      <c r="A16" s="12" t="s">
        <v>25</v>
      </c>
      <c r="B16" s="13" t="n">
        <v>46070</v>
      </c>
      <c r="C16" s="12" t="s">
        <v>11</v>
      </c>
      <c r="D16" s="12" t="s">
        <v>26</v>
      </c>
      <c r="E16" s="14" t="n">
        <v>1</v>
      </c>
    </row>
    <row r="17" customFormat="false" ht="135.8" hidden="false" customHeight="false" outlineLevel="0" collapsed="false">
      <c r="A17" s="12" t="s">
        <v>27</v>
      </c>
      <c r="B17" s="13" t="n">
        <v>46070</v>
      </c>
      <c r="C17" s="12" t="s">
        <v>11</v>
      </c>
      <c r="D17" s="12" t="s">
        <v>28</v>
      </c>
      <c r="E17" s="14" t="n">
        <v>1</v>
      </c>
    </row>
    <row r="18" customFormat="false" ht="149.25" hidden="false" customHeight="false" outlineLevel="0" collapsed="false">
      <c r="A18" s="12" t="s">
        <v>29</v>
      </c>
      <c r="B18" s="13" t="n">
        <v>46081</v>
      </c>
      <c r="C18" s="12" t="s">
        <v>11</v>
      </c>
      <c r="D18" s="12" t="s">
        <v>30</v>
      </c>
      <c r="E18" s="14" t="n">
        <v>1</v>
      </c>
    </row>
    <row r="19" customFormat="false" ht="108.95" hidden="false" customHeight="false" outlineLevel="0" collapsed="false">
      <c r="A19" s="12" t="s">
        <v>31</v>
      </c>
      <c r="B19" s="13" t="n">
        <v>46084</v>
      </c>
      <c r="C19" s="12" t="s">
        <v>11</v>
      </c>
      <c r="D19" s="12" t="s">
        <v>32</v>
      </c>
      <c r="E19" s="14" t="n">
        <v>1</v>
      </c>
    </row>
    <row r="20" customFormat="false" ht="15" hidden="false" customHeight="false" outlineLevel="0" collapsed="false">
      <c r="F20" s="6" t="s">
        <v>33</v>
      </c>
      <c r="G20" s="6" t="s">
        <v>34</v>
      </c>
      <c r="H20" s="6" t="s">
        <v>35</v>
      </c>
    </row>
    <row r="21" customFormat="false" ht="19.5" hidden="false" customHeight="true" outlineLevel="0" collapsed="false">
      <c r="A21" s="15" t="s">
        <v>36</v>
      </c>
      <c r="B21" s="15"/>
      <c r="C21" s="15"/>
      <c r="D21" s="15"/>
      <c r="F21" s="16" t="n">
        <v>46041</v>
      </c>
      <c r="G21" s="1" t="n">
        <f aca="false">COUNTIFS(Gantt!$F$9:$F$200,"&lt;="&amp;F21,Gantt!$A$9:$A$200,"&lt;&gt;")</f>
        <v>1</v>
      </c>
      <c r="H21" s="1" t="n">
        <f aca="false">COUNTIFS(Gantt!$F$9:$F$200,"&lt;="&amp;F21,Gantt!$I$9:$I$200,"Done")</f>
        <v>1</v>
      </c>
    </row>
    <row r="22" customFormat="false" ht="30" hidden="false" customHeight="true" outlineLevel="0" collapsed="false">
      <c r="A22" s="17" t="s">
        <v>37</v>
      </c>
      <c r="B22" s="17"/>
      <c r="C22" s="17"/>
      <c r="D22" s="17"/>
      <c r="F22" s="16" t="n">
        <v>46042</v>
      </c>
      <c r="G22" s="1" t="n">
        <f aca="false">COUNTIFS(Gantt!$F$9:$F$200,"&lt;="&amp;F22,Gantt!$A$9:$A$200,"&lt;&gt;")</f>
        <v>2</v>
      </c>
      <c r="H22" s="1" t="n">
        <f aca="false">COUNTIFS(Gantt!$F$9:$F$200,"&lt;="&amp;F22,Gantt!$I$9:$I$200,"Done")</f>
        <v>2</v>
      </c>
    </row>
    <row r="23" customFormat="false" ht="30" hidden="false" customHeight="true" outlineLevel="0" collapsed="false">
      <c r="A23" s="17" t="s">
        <v>38</v>
      </c>
      <c r="B23" s="17"/>
      <c r="C23" s="17"/>
      <c r="D23" s="17"/>
      <c r="F23" s="16" t="n">
        <v>46043</v>
      </c>
      <c r="G23" s="1" t="n">
        <f aca="false">COUNTIFS(Gantt!$F$9:$F$200,"&lt;="&amp;F23,Gantt!$A$9:$A$200,"&lt;&gt;")</f>
        <v>3</v>
      </c>
      <c r="H23" s="1" t="n">
        <f aca="false">COUNTIFS(Gantt!$F$9:$F$200,"&lt;="&amp;F23,Gantt!$I$9:$I$200,"Done")</f>
        <v>3</v>
      </c>
    </row>
    <row r="24" customFormat="false" ht="30" hidden="false" customHeight="true" outlineLevel="0" collapsed="false">
      <c r="A24" s="17" t="s">
        <v>39</v>
      </c>
      <c r="B24" s="17"/>
      <c r="C24" s="17"/>
      <c r="D24" s="17"/>
      <c r="F24" s="16" t="n">
        <v>46048</v>
      </c>
      <c r="G24" s="1" t="n">
        <f aca="false">COUNTIFS(Gantt!$F$9:$F$200,"&lt;="&amp;F24,Gantt!$A$9:$A$200,"&lt;&gt;")</f>
        <v>4</v>
      </c>
      <c r="H24" s="1" t="n">
        <f aca="false">COUNTIFS(Gantt!$F$9:$F$200,"&lt;="&amp;F24,Gantt!$I$9:$I$200,"Done")</f>
        <v>4</v>
      </c>
    </row>
    <row r="25" customFormat="false" ht="30" hidden="false" customHeight="true" outlineLevel="0" collapsed="false">
      <c r="A25" s="17" t="s">
        <v>40</v>
      </c>
      <c r="B25" s="17"/>
      <c r="C25" s="17"/>
      <c r="D25" s="17"/>
      <c r="F25" s="16" t="n">
        <v>46049</v>
      </c>
      <c r="G25" s="1" t="n">
        <f aca="false">COUNTIFS(Gantt!$F$9:$F$200,"&lt;="&amp;F25,Gantt!$A$9:$A$200,"&lt;&gt;")</f>
        <v>6</v>
      </c>
      <c r="H25" s="1" t="n">
        <f aca="false">COUNTIFS(Gantt!$F$9:$F$200,"&lt;="&amp;F25,Gantt!$I$9:$I$200,"Done")</f>
        <v>6</v>
      </c>
    </row>
    <row r="26" customFormat="false" ht="30" hidden="false" customHeight="true" outlineLevel="0" collapsed="false">
      <c r="A26" s="17" t="s">
        <v>41</v>
      </c>
      <c r="B26" s="17"/>
      <c r="C26" s="17"/>
      <c r="D26" s="17"/>
      <c r="F26" s="16" t="n">
        <v>46050</v>
      </c>
      <c r="G26" s="1" t="n">
        <f aca="false">COUNTIFS(Gantt!$F$9:$F$200,"&lt;="&amp;F26,Gantt!$A$9:$A$200,"&lt;&gt;")</f>
        <v>6</v>
      </c>
      <c r="H26" s="1" t="n">
        <f aca="false">COUNTIFS(Gantt!$F$9:$F$200,"&lt;="&amp;F26,Gantt!$I$9:$I$200,"Done")</f>
        <v>6</v>
      </c>
    </row>
    <row r="27" customFormat="false" ht="15" hidden="false" customHeight="false" outlineLevel="0" collapsed="false">
      <c r="F27" s="16" t="n">
        <v>46051</v>
      </c>
      <c r="G27" s="1" t="n">
        <f aca="false">COUNTIFS(Gantt!$F$9:$F$200,"&lt;="&amp;F27,Gantt!$A$9:$A$200,"&lt;&gt;")</f>
        <v>6</v>
      </c>
      <c r="H27" s="1" t="n">
        <f aca="false">COUNTIFS(Gantt!$F$9:$F$200,"&lt;="&amp;F27,Gantt!$I$9:$I$200,"Done")</f>
        <v>6</v>
      </c>
    </row>
    <row r="28" customFormat="false" ht="15" hidden="false" customHeight="false" outlineLevel="0" collapsed="false">
      <c r="F28" s="16" t="n">
        <v>46052</v>
      </c>
      <c r="G28" s="1" t="n">
        <f aca="false">COUNTIFS(Gantt!$F$9:$F$200,"&lt;="&amp;F28,Gantt!$A$9:$A$200,"&lt;&gt;")</f>
        <v>7</v>
      </c>
      <c r="H28" s="1" t="n">
        <f aca="false">COUNTIFS(Gantt!$F$9:$F$200,"&lt;="&amp;F28,Gantt!$I$9:$I$200,"Done")</f>
        <v>7</v>
      </c>
    </row>
    <row r="29" customFormat="false" ht="15" hidden="false" customHeight="false" outlineLevel="0" collapsed="false">
      <c r="F29" s="16" t="n">
        <v>46055</v>
      </c>
      <c r="G29" s="1" t="n">
        <f aca="false">COUNTIFS(Gantt!$F$9:$F$200,"&lt;="&amp;F29,Gantt!$A$9:$A$200,"&lt;&gt;")</f>
        <v>8</v>
      </c>
      <c r="H29" s="1" t="n">
        <f aca="false">COUNTIFS(Gantt!$F$9:$F$200,"&lt;="&amp;F29,Gantt!$I$9:$I$200,"Done")</f>
        <v>8</v>
      </c>
    </row>
    <row r="30" customFormat="false" ht="15" hidden="false" customHeight="false" outlineLevel="0" collapsed="false">
      <c r="F30" s="16" t="n">
        <v>46056</v>
      </c>
      <c r="G30" s="1" t="n">
        <f aca="false">COUNTIFS(Gantt!$F$9:$F$200,"&lt;="&amp;F30,Gantt!$A$9:$A$200,"&lt;&gt;")</f>
        <v>8</v>
      </c>
      <c r="H30" s="1" t="n">
        <f aca="false">COUNTIFS(Gantt!$F$9:$F$200,"&lt;="&amp;F30,Gantt!$I$9:$I$200,"Done")</f>
        <v>8</v>
      </c>
    </row>
    <row r="31" customFormat="false" ht="15" hidden="false" customHeight="false" outlineLevel="0" collapsed="false">
      <c r="F31" s="16" t="n">
        <v>46057</v>
      </c>
      <c r="G31" s="1" t="n">
        <f aca="false">COUNTIFS(Gantt!$F$9:$F$200,"&lt;="&amp;F31,Gantt!$A$9:$A$200,"&lt;&gt;")</f>
        <v>9</v>
      </c>
      <c r="H31" s="1" t="n">
        <f aca="false">COUNTIFS(Gantt!$F$9:$F$200,"&lt;="&amp;F31,Gantt!$I$9:$I$200,"Done")</f>
        <v>9</v>
      </c>
    </row>
    <row r="32" customFormat="false" ht="15" hidden="false" customHeight="false" outlineLevel="0" collapsed="false">
      <c r="F32" s="16" t="n">
        <v>46058</v>
      </c>
      <c r="G32" s="1" t="n">
        <f aca="false">COUNTIFS(Gantt!$F$9:$F$200,"&lt;="&amp;F32,Gantt!$A$9:$A$200,"&lt;&gt;")</f>
        <v>9</v>
      </c>
      <c r="H32" s="1" t="n">
        <f aca="false">COUNTIFS(Gantt!$F$9:$F$200,"&lt;="&amp;F32,Gantt!$I$9:$I$200,"Done")</f>
        <v>9</v>
      </c>
    </row>
    <row r="33" customFormat="false" ht="15" hidden="false" customHeight="false" outlineLevel="0" collapsed="false">
      <c r="F33" s="18" t="s">
        <v>42</v>
      </c>
      <c r="G33" s="6" t="s">
        <v>5</v>
      </c>
      <c r="H33" s="1" t="n">
        <f aca="false">COUNTIFS(Gantt!$F$9:$F$200,"&lt;="&amp;F33,Gantt!$I$9:$I$200,"Done")</f>
        <v>0</v>
      </c>
    </row>
    <row r="34" customFormat="false" ht="15" hidden="false" customHeight="false" outlineLevel="0" collapsed="false">
      <c r="F34" s="16" t="s">
        <v>43</v>
      </c>
      <c r="G34" s="1" t="n">
        <f aca="false">COUNTIF(BOM!$K$8:$K$200,"To Get")</f>
        <v>1</v>
      </c>
      <c r="H34" s="1" t="n">
        <f aca="false">COUNTIFS(Gantt!$F$9:$F$200,"&lt;="&amp;F34,Gantt!$I$9:$I$200,"Done")</f>
        <v>0</v>
      </c>
    </row>
    <row r="35" customFormat="false" ht="15" hidden="false" customHeight="false" outlineLevel="0" collapsed="false">
      <c r="F35" s="16" t="s">
        <v>44</v>
      </c>
      <c r="G35" s="1" t="n">
        <f aca="false">COUNTIF(BOM!$K$8:$K$200,"To Buy")</f>
        <v>2</v>
      </c>
      <c r="H35" s="1" t="n">
        <f aca="false">COUNTIFS(Gantt!$F$9:$F$200,"&lt;="&amp;F35,Gantt!$I$9:$I$200,"Done")</f>
        <v>0</v>
      </c>
    </row>
    <row r="36" customFormat="false" ht="15" hidden="false" customHeight="false" outlineLevel="0" collapsed="false">
      <c r="F36" s="16" t="s">
        <v>45</v>
      </c>
      <c r="G36" s="1" t="n">
        <f aca="false">COUNTIF(BOM!$K$8:$K$200,"Ordered")</f>
        <v>0</v>
      </c>
      <c r="H36" s="1" t="n">
        <f aca="false">COUNTIFS(Gantt!$F$9:$F$200,"&lt;="&amp;F36,Gantt!$I$9:$I$200,"Done")</f>
        <v>0</v>
      </c>
    </row>
    <row r="37" customFormat="false" ht="15" hidden="false" customHeight="false" outlineLevel="0" collapsed="false">
      <c r="F37" s="16" t="s">
        <v>46</v>
      </c>
      <c r="G37" s="1" t="n">
        <f aca="false">COUNTIF(BOM!$K$8:$K$200,"Received")</f>
        <v>19</v>
      </c>
      <c r="H37" s="1" t="n">
        <f aca="false">COUNTIFS(Gantt!$F$9:$F$200,"&lt;="&amp;F37,Gantt!$I$9:$I$200,"Done")</f>
        <v>0</v>
      </c>
    </row>
    <row r="38" customFormat="false" ht="15" hidden="false" customHeight="false" outlineLevel="0" collapsed="false">
      <c r="F38" s="16" t="s">
        <v>47</v>
      </c>
      <c r="G38" s="1" t="n">
        <f aca="false">COUNTIF(BOM!$K$8:$K$200,"Optional")</f>
        <v>5</v>
      </c>
      <c r="H38" s="1" t="n">
        <f aca="false">COUNTIFS(Gantt!$F$9:$F$200,"&lt;="&amp;F38,Gantt!$I$9:$I$200,"Done")</f>
        <v>0</v>
      </c>
    </row>
  </sheetData>
  <mergeCells count="11">
    <mergeCell ref="A1:N1"/>
    <mergeCell ref="A2:N2"/>
    <mergeCell ref="A3:N3"/>
    <mergeCell ref="A5:N5"/>
    <mergeCell ref="A11:N11"/>
    <mergeCell ref="A21:D21"/>
    <mergeCell ref="A22:D22"/>
    <mergeCell ref="A23:D23"/>
    <mergeCell ref="A24:D24"/>
    <mergeCell ref="A25:D25"/>
    <mergeCell ref="A26:D26"/>
  </mergeCells>
  <conditionalFormatting sqref="C13:C19">
    <cfRule type="expression" priority="2" aboveAverage="0" equalAverage="0" bottom="0" percent="0" rank="0" text="" dxfId="0">
      <formula>C13="Done"</formula>
    </cfRule>
    <cfRule type="expression" priority="3" aboveAverage="0" equalAverage="0" bottom="0" percent="0" rank="0" text="" dxfId="1">
      <formula>C13="In Progress"</formula>
    </cfRule>
    <cfRule type="expression" priority="4" aboveAverage="0" equalAverage="0" bottom="0" percent="0" rank="0" text="" dxfId="2">
      <formula>C13="Not Started"</formula>
    </cfRule>
  </conditionalFormatting>
  <conditionalFormatting sqref="E13:E19">
    <cfRule type="dataBar" priority="5">
      <dataBar showValue="1" minLength="10" maxLength="90">
        <cfvo type="num" val="0"/>
        <cfvo type="num" val="1"/>
        <color rgb="FF4DABF7"/>
      </dataBar>
      <extLst>
        <ext xmlns:x14="http://schemas.microsoft.com/office/spreadsheetml/2009/9/main" uri="{B025F937-C7B1-47D3-B67F-A62EFF666E3E}">
          <x14:id>{8BE5891F-A920-4198-B385-7FCB3D9BD1B0}</x14:id>
        </ext>
      </extLst>
    </cfRule>
  </conditionalFormatting>
  <conditionalFormatting sqref="B7">
    <cfRule type="dataBar" priority="6">
      <dataBar showValue="1" minLength="10" maxLength="90">
        <cfvo type="num" val="0"/>
        <cfvo type="num" val="1"/>
        <color rgb="FF69DB7C"/>
      </dataBar>
      <extLst>
        <ext xmlns:x14="http://schemas.microsoft.com/office/spreadsheetml/2009/9/main" uri="{B025F937-C7B1-47D3-B67F-A62EFF666E3E}">
          <x14:id>{865F4B4E-1CD6-48D7-84ED-8BDEF7D25D17}</x14:id>
        </ext>
      </extLst>
    </cfRule>
  </conditionalFormatting>
  <dataValidations count="2">
    <dataValidation allowBlank="true" errorStyle="stop" operator="between" showDropDown="true" showErrorMessage="false" showInputMessage="false" sqref="C13:C19" type="list">
      <formula1>"Not Started,In Progress,Done"</formula1>
      <formula2>0</formula2>
    </dataValidation>
    <dataValidation allowBlank="true" errorStyle="stop" operator="between" showDropDown="false" showErrorMessage="false" showInputMessage="false" sqref="E13:E19" type="decimal">
      <formula1>0</formula1>
      <formula2>1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BE5891F-A920-4198-B385-7FCB3D9BD1B0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DABF7"/>
              <x14:axisColor rgb="FF000000"/>
            </x14:dataBar>
          </x14:cfRule>
          <xm:sqref>E13:E19</xm:sqref>
        </x14:conditionalFormatting>
        <x14:conditionalFormatting xmlns:xm="http://schemas.microsoft.com/office/excel/2006/main">
          <x14:cfRule type="dataBar" id="{865F4B4E-1CD6-48D7-84ED-8BDEF7D25D1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9DB7C"/>
              <x14:axisColor rgb="FF000000"/>
            </x14:dataBar>
          </x14:cfRule>
          <xm:sqref>B7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8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O22" activeCellId="0" sqref="O2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2" min="2" style="1" width="37.71"/>
    <col collapsed="false" customWidth="true" hidden="false" outlineLevel="0" max="3" min="3" style="1" width="14.42"/>
    <col collapsed="false" customWidth="true" hidden="false" outlineLevel="0" max="4" min="4" style="1" width="7"/>
    <col collapsed="false" customWidth="true" hidden="false" outlineLevel="0" max="6" min="5" style="1" width="9.71"/>
    <col collapsed="false" customWidth="false" hidden="false" outlineLevel="0" max="7" min="7" style="1" width="8.71"/>
    <col collapsed="false" customWidth="true" hidden="false" outlineLevel="0" max="8" min="8" style="1" width="20.85"/>
    <col collapsed="false" customWidth="true" hidden="false" outlineLevel="0" max="9" min="9" style="1" width="11.14"/>
    <col collapsed="false" customWidth="true" hidden="false" outlineLevel="0" max="10" min="10" style="1" width="13.86"/>
    <col collapsed="false" customWidth="true" hidden="false" outlineLevel="0" max="11" min="11" style="1" width="27.86"/>
    <col collapsed="false" customWidth="true" hidden="false" outlineLevel="0" max="14" min="12" style="1" width="5.57"/>
    <col collapsed="false" customWidth="true" hidden="false" outlineLevel="0" max="15" min="15" style="1" width="11.14"/>
    <col collapsed="false" customWidth="true" hidden="false" outlineLevel="0" max="16" min="16" style="1" width="6.29"/>
    <col collapsed="false" customWidth="true" hidden="false" outlineLevel="0" max="21" min="17" style="1" width="5.57"/>
    <col collapsed="false" customWidth="true" hidden="false" outlineLevel="0" max="36" min="22" style="1" width="5.86"/>
  </cols>
  <sheetData>
    <row r="1" customFormat="false" ht="23.25" hidden="false" customHeight="true" outlineLevel="0" collapsed="false">
      <c r="A1" s="2" t="s">
        <v>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customFormat="false" ht="15" hidden="false" customHeight="false" outlineLevel="0" collapsed="false">
      <c r="A2" s="3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customFormat="false" ht="15" hidden="false" customHeight="false" outlineLevel="0" collapsed="false">
      <c r="A3" s="4" t="s">
        <v>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customFormat="false" ht="15" hidden="false" customHeight="true" outlineLevel="0" collapsed="false">
      <c r="B4" s="19" t="s">
        <v>51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20" t="n">
        <f aca="false">IFERROR(SUMPRODUCT($G$9:$G$200,$H$9:$H$200)/SUM($G$9:$G$200),0)</f>
        <v>1</v>
      </c>
      <c r="N4" s="14" t="n">
        <f aca="false">M4</f>
        <v>1</v>
      </c>
      <c r="O4" s="6" t="s">
        <v>16</v>
      </c>
      <c r="P4" s="6" t="s">
        <v>5</v>
      </c>
    </row>
    <row r="5" customFormat="false" ht="45" hidden="false" customHeight="true" outlineLevel="0" collapsed="false">
      <c r="A5" s="21" t="s">
        <v>52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2" t="s">
        <v>53</v>
      </c>
      <c r="M5" s="23" t="n">
        <f aca="false">COUNTIF($I$9:$I$200,"Done")</f>
        <v>20</v>
      </c>
      <c r="N5" s="1" t="n">
        <f aca="false">M5</f>
        <v>20</v>
      </c>
      <c r="O5" s="1" t="s">
        <v>7</v>
      </c>
      <c r="P5" s="1" t="n">
        <f aca="false">COUNTIF($I$9:$I$200,"Not Started")</f>
        <v>0</v>
      </c>
    </row>
    <row r="6" customFormat="false" ht="15" hidden="false" customHeight="false" outlineLevel="0" collapsed="false">
      <c r="O6" s="1" t="s">
        <v>9</v>
      </c>
      <c r="P6" s="1" t="n">
        <f aca="false">COUNTIF($I$9:$I$200,"In Progress")</f>
        <v>0</v>
      </c>
    </row>
    <row r="7" customFormat="false" ht="30" hidden="false" customHeight="true" outlineLevel="0" collapsed="false">
      <c r="A7" s="11" t="s">
        <v>54</v>
      </c>
      <c r="B7" s="11" t="s">
        <v>55</v>
      </c>
      <c r="C7" s="11" t="s">
        <v>56</v>
      </c>
      <c r="D7" s="11" t="s">
        <v>57</v>
      </c>
      <c r="E7" s="11" t="s">
        <v>58</v>
      </c>
      <c r="F7" s="11" t="s">
        <v>59</v>
      </c>
      <c r="G7" s="11" t="s">
        <v>60</v>
      </c>
      <c r="H7" s="11" t="s">
        <v>18</v>
      </c>
      <c r="I7" s="11" t="s">
        <v>16</v>
      </c>
      <c r="J7" s="11" t="s">
        <v>61</v>
      </c>
      <c r="K7" s="11" t="s">
        <v>17</v>
      </c>
      <c r="L7" s="24" t="n">
        <v>46041</v>
      </c>
      <c r="M7" s="24" t="n">
        <v>46042</v>
      </c>
      <c r="N7" s="24" t="n">
        <v>46043</v>
      </c>
      <c r="O7" s="24" t="s">
        <v>11</v>
      </c>
      <c r="P7" s="24" t="n">
        <f aca="false">COUNTIF($I$9:$I$200,"Done")</f>
        <v>20</v>
      </c>
      <c r="Q7" s="24" t="n">
        <v>46048</v>
      </c>
      <c r="R7" s="24" t="n">
        <v>46049</v>
      </c>
      <c r="S7" s="24" t="n">
        <v>46050</v>
      </c>
      <c r="T7" s="24" t="n">
        <v>46051</v>
      </c>
      <c r="U7" s="24" t="n">
        <v>46052</v>
      </c>
      <c r="V7" s="24" t="n">
        <v>46055</v>
      </c>
      <c r="W7" s="24" t="n">
        <v>46056</v>
      </c>
      <c r="X7" s="24" t="n">
        <v>46057</v>
      </c>
      <c r="Y7" s="24" t="n">
        <v>46058</v>
      </c>
      <c r="Z7" s="24" t="n">
        <v>46059</v>
      </c>
      <c r="AA7" s="24" t="n">
        <v>46062</v>
      </c>
      <c r="AB7" s="24" t="n">
        <v>46063</v>
      </c>
      <c r="AC7" s="24" t="n">
        <v>46064</v>
      </c>
      <c r="AD7" s="24" t="n">
        <v>46065</v>
      </c>
      <c r="AE7" s="24" t="n">
        <v>46066</v>
      </c>
      <c r="AF7" s="24" t="n">
        <v>46069</v>
      </c>
      <c r="AG7" s="24" t="n">
        <v>46070</v>
      </c>
      <c r="AH7" s="24" t="n">
        <v>46071</v>
      </c>
      <c r="AI7" s="24" t="n">
        <v>46072</v>
      </c>
      <c r="AJ7" s="24" t="n">
        <v>46073</v>
      </c>
    </row>
    <row r="8" customFormat="false" ht="15" hidden="false" customHeight="fals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6" t="s">
        <v>62</v>
      </c>
      <c r="M8" s="26" t="s">
        <v>63</v>
      </c>
      <c r="N8" s="26" t="s">
        <v>64</v>
      </c>
      <c r="O8" s="26" t="s">
        <v>12</v>
      </c>
      <c r="P8" s="26" t="n">
        <f aca="false">COUNTIF($I$9:$I$200,"Blocked")</f>
        <v>0</v>
      </c>
      <c r="Q8" s="26" t="s">
        <v>62</v>
      </c>
      <c r="R8" s="26" t="s">
        <v>63</v>
      </c>
      <c r="S8" s="26" t="s">
        <v>64</v>
      </c>
      <c r="T8" s="26" t="s">
        <v>65</v>
      </c>
      <c r="U8" s="26" t="s">
        <v>66</v>
      </c>
      <c r="V8" s="26" t="s">
        <v>62</v>
      </c>
      <c r="W8" s="26" t="s">
        <v>63</v>
      </c>
      <c r="X8" s="26" t="s">
        <v>64</v>
      </c>
      <c r="Y8" s="26" t="s">
        <v>65</v>
      </c>
      <c r="Z8" s="26" t="s">
        <v>66</v>
      </c>
      <c r="AA8" s="26" t="s">
        <v>62</v>
      </c>
      <c r="AB8" s="26" t="s">
        <v>63</v>
      </c>
      <c r="AC8" s="26" t="s">
        <v>64</v>
      </c>
      <c r="AD8" s="26" t="s">
        <v>65</v>
      </c>
      <c r="AE8" s="26" t="s">
        <v>66</v>
      </c>
      <c r="AF8" s="26" t="s">
        <v>62</v>
      </c>
      <c r="AG8" s="26" t="s">
        <v>63</v>
      </c>
      <c r="AH8" s="26" t="s">
        <v>64</v>
      </c>
      <c r="AI8" s="26" t="s">
        <v>65</v>
      </c>
      <c r="AJ8" s="26" t="s">
        <v>66</v>
      </c>
    </row>
    <row r="9" customFormat="false" ht="15" hidden="false" customHeight="false" outlineLevel="0" collapsed="false">
      <c r="A9" s="27" t="s">
        <v>67</v>
      </c>
      <c r="B9" s="27" t="s">
        <v>68</v>
      </c>
      <c r="C9" s="27" t="s">
        <v>69</v>
      </c>
      <c r="D9" s="27" t="s">
        <v>70</v>
      </c>
      <c r="E9" s="28" t="n">
        <v>46041</v>
      </c>
      <c r="F9" s="28" t="n">
        <v>46041</v>
      </c>
      <c r="G9" s="27" t="n">
        <f aca="false">IF(AND(E9&lt;&gt;"",F9&lt;&gt;""),NETWORKDAYS(E9,F9),"")</f>
        <v>1</v>
      </c>
      <c r="H9" s="29" t="n">
        <v>1</v>
      </c>
      <c r="I9" s="27" t="s">
        <v>11</v>
      </c>
      <c r="J9" s="27"/>
      <c r="K9" s="27" t="s">
        <v>71</v>
      </c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</row>
    <row r="10" customFormat="false" ht="30" hidden="false" customHeight="true" outlineLevel="0" collapsed="false">
      <c r="A10" s="27" t="s">
        <v>72</v>
      </c>
      <c r="B10" s="27" t="s">
        <v>73</v>
      </c>
      <c r="C10" s="27" t="s">
        <v>69</v>
      </c>
      <c r="D10" s="27" t="s">
        <v>70</v>
      </c>
      <c r="E10" s="28" t="n">
        <v>46041</v>
      </c>
      <c r="F10" s="28" t="n">
        <v>46042</v>
      </c>
      <c r="G10" s="27" t="n">
        <f aca="false">IF(AND(E10&lt;&gt;"",F10&lt;&gt;""),NETWORKDAYS(E10,F10),"")</f>
        <v>2</v>
      </c>
      <c r="H10" s="29" t="n">
        <v>1</v>
      </c>
      <c r="I10" s="27" t="s">
        <v>11</v>
      </c>
      <c r="J10" s="27"/>
      <c r="K10" s="27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</row>
    <row r="11" customFormat="false" ht="30" hidden="false" customHeight="true" outlineLevel="0" collapsed="false">
      <c r="A11" s="27" t="s">
        <v>74</v>
      </c>
      <c r="B11" s="27" t="s">
        <v>75</v>
      </c>
      <c r="C11" s="27" t="s">
        <v>76</v>
      </c>
      <c r="D11" s="27" t="s">
        <v>70</v>
      </c>
      <c r="E11" s="28" t="n">
        <v>46042</v>
      </c>
      <c r="F11" s="28" t="n">
        <v>46043</v>
      </c>
      <c r="G11" s="27" t="n">
        <f aca="false">IF(AND(E11&lt;&gt;"",F11&lt;&gt;""),NETWORKDAYS(E11,F11),"")</f>
        <v>2</v>
      </c>
      <c r="H11" s="29" t="n">
        <v>1</v>
      </c>
      <c r="I11" s="27" t="s">
        <v>11</v>
      </c>
      <c r="J11" s="27"/>
      <c r="K11" s="27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</row>
    <row r="12" customFormat="false" ht="30" hidden="false" customHeight="true" outlineLevel="0" collapsed="false">
      <c r="A12" s="27" t="s">
        <v>77</v>
      </c>
      <c r="B12" s="27" t="s">
        <v>78</v>
      </c>
      <c r="C12" s="27" t="s">
        <v>79</v>
      </c>
      <c r="D12" s="27" t="s">
        <v>70</v>
      </c>
      <c r="E12" s="28" t="n">
        <v>46043</v>
      </c>
      <c r="F12" s="28" t="n">
        <v>46045</v>
      </c>
      <c r="G12" s="27" t="n">
        <f aca="false">IF(AND(E12&lt;&gt;"",F12&lt;&gt;""),NETWORKDAYS(E12,F12),"")</f>
        <v>3</v>
      </c>
      <c r="H12" s="29" t="n">
        <v>1</v>
      </c>
      <c r="I12" s="27" t="s">
        <v>11</v>
      </c>
      <c r="J12" s="27" t="s">
        <v>74</v>
      </c>
      <c r="K12" s="27" t="s">
        <v>80</v>
      </c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</row>
    <row r="13" customFormat="false" ht="30" hidden="false" customHeight="true" outlineLevel="0" collapsed="false">
      <c r="A13" s="27" t="s">
        <v>81</v>
      </c>
      <c r="B13" s="27" t="s">
        <v>82</v>
      </c>
      <c r="C13" s="27" t="s">
        <v>83</v>
      </c>
      <c r="D13" s="27" t="s">
        <v>70</v>
      </c>
      <c r="E13" s="28" t="n">
        <v>46045</v>
      </c>
      <c r="F13" s="28" t="n">
        <v>46049</v>
      </c>
      <c r="G13" s="27" t="n">
        <f aca="false">IF(AND(E13&lt;&gt;"",F13&lt;&gt;""),NETWORKDAYS(E13,F13),"")</f>
        <v>3</v>
      </c>
      <c r="H13" s="29" t="n">
        <v>1</v>
      </c>
      <c r="I13" s="27" t="s">
        <v>11</v>
      </c>
      <c r="J13" s="27" t="s">
        <v>77</v>
      </c>
      <c r="K13" s="27" t="s">
        <v>84</v>
      </c>
      <c r="L13" s="30"/>
      <c r="M13" s="30"/>
      <c r="N13" s="30"/>
      <c r="O13" s="31"/>
      <c r="P13" s="31"/>
      <c r="Q13" s="32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</row>
    <row r="14" customFormat="false" ht="15" hidden="false" customHeight="false" outlineLevel="0" collapsed="false">
      <c r="A14" s="27" t="s">
        <v>85</v>
      </c>
      <c r="B14" s="27" t="s">
        <v>86</v>
      </c>
      <c r="C14" s="27" t="s">
        <v>87</v>
      </c>
      <c r="D14" s="27" t="s">
        <v>70</v>
      </c>
      <c r="E14" s="28" t="n">
        <v>46049</v>
      </c>
      <c r="F14" s="28" t="n">
        <v>46049</v>
      </c>
      <c r="G14" s="27" t="n">
        <f aca="false">IF(AND(E14&lt;&gt;"",F14&lt;&gt;""),NETWORKDAYS(E14,F14),"")</f>
        <v>1</v>
      </c>
      <c r="H14" s="29" t="n">
        <v>1</v>
      </c>
      <c r="I14" s="27" t="s">
        <v>11</v>
      </c>
      <c r="J14" s="27" t="s">
        <v>81</v>
      </c>
      <c r="K14" s="27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</row>
    <row r="15" customFormat="false" ht="30" hidden="false" customHeight="true" outlineLevel="0" collapsed="false">
      <c r="A15" s="27" t="s">
        <v>88</v>
      </c>
      <c r="B15" s="27" t="s">
        <v>89</v>
      </c>
      <c r="C15" s="27" t="s">
        <v>90</v>
      </c>
      <c r="D15" s="27" t="s">
        <v>70</v>
      </c>
      <c r="E15" s="28" t="n">
        <v>46050</v>
      </c>
      <c r="F15" s="28" t="n">
        <v>46052</v>
      </c>
      <c r="G15" s="27" t="n">
        <f aca="false">IF(AND(E15&lt;&gt;"",F15&lt;&gt;""),NETWORKDAYS(E15,F15),"")</f>
        <v>3</v>
      </c>
      <c r="H15" s="29" t="n">
        <v>1</v>
      </c>
      <c r="I15" s="27" t="s">
        <v>11</v>
      </c>
      <c r="J15" s="27" t="s">
        <v>85</v>
      </c>
      <c r="K15" s="27" t="s">
        <v>91</v>
      </c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</row>
    <row r="16" customFormat="false" ht="30" hidden="false" customHeight="true" outlineLevel="0" collapsed="false">
      <c r="A16" s="27" t="s">
        <v>92</v>
      </c>
      <c r="B16" s="27" t="s">
        <v>93</v>
      </c>
      <c r="C16" s="27" t="s">
        <v>79</v>
      </c>
      <c r="D16" s="27" t="s">
        <v>70</v>
      </c>
      <c r="E16" s="28" t="n">
        <v>46052</v>
      </c>
      <c r="F16" s="28" t="n">
        <v>46055</v>
      </c>
      <c r="G16" s="27" t="n">
        <f aca="false">IF(AND(E16&lt;&gt;"",F16&lt;&gt;""),NETWORKDAYS(E16,F16),"")</f>
        <v>2</v>
      </c>
      <c r="H16" s="29" t="n">
        <v>1</v>
      </c>
      <c r="I16" s="27" t="s">
        <v>11</v>
      </c>
      <c r="J16" s="27" t="s">
        <v>88</v>
      </c>
      <c r="K16" s="27" t="s">
        <v>94</v>
      </c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</row>
    <row r="17" customFormat="false" ht="30" hidden="false" customHeight="true" outlineLevel="0" collapsed="false">
      <c r="A17" s="27" t="s">
        <v>95</v>
      </c>
      <c r="B17" s="27" t="s">
        <v>96</v>
      </c>
      <c r="C17" s="27" t="s">
        <v>83</v>
      </c>
      <c r="D17" s="27" t="s">
        <v>70</v>
      </c>
      <c r="E17" s="28" t="n">
        <v>46055</v>
      </c>
      <c r="F17" s="28" t="n">
        <v>46057</v>
      </c>
      <c r="G17" s="27" t="n">
        <f aca="false">IF(AND(E17&lt;&gt;"",F17&lt;&gt;""),NETWORKDAYS(E17,F17),"")</f>
        <v>3</v>
      </c>
      <c r="H17" s="29" t="n">
        <v>1</v>
      </c>
      <c r="I17" s="27" t="s">
        <v>11</v>
      </c>
      <c r="J17" s="27" t="s">
        <v>92</v>
      </c>
      <c r="K17" s="27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</row>
    <row r="18" customFormat="false" ht="30" hidden="false" customHeight="true" outlineLevel="0" collapsed="false">
      <c r="A18" s="27" t="s">
        <v>97</v>
      </c>
      <c r="B18" s="27" t="s">
        <v>98</v>
      </c>
      <c r="C18" s="27" t="s">
        <v>90</v>
      </c>
      <c r="D18" s="27" t="s">
        <v>70</v>
      </c>
      <c r="E18" s="28" t="n">
        <v>46057</v>
      </c>
      <c r="F18" s="28" t="n">
        <v>46059</v>
      </c>
      <c r="G18" s="27" t="n">
        <f aca="false">IF(AND(E18&lt;&gt;"",F18&lt;&gt;""),NETWORKDAYS(E18,F18),"")</f>
        <v>3</v>
      </c>
      <c r="H18" s="29" t="n">
        <v>1</v>
      </c>
      <c r="I18" s="27" t="s">
        <v>11</v>
      </c>
      <c r="J18" s="27" t="s">
        <v>95</v>
      </c>
      <c r="K18" s="27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</row>
    <row r="19" customFormat="false" ht="45" hidden="false" customHeight="true" outlineLevel="0" collapsed="false">
      <c r="A19" s="27" t="s">
        <v>99</v>
      </c>
      <c r="B19" s="27" t="s">
        <v>100</v>
      </c>
      <c r="C19" s="27" t="s">
        <v>101</v>
      </c>
      <c r="D19" s="27" t="s">
        <v>70</v>
      </c>
      <c r="E19" s="28" t="n">
        <v>46057</v>
      </c>
      <c r="F19" s="28" t="n">
        <v>46059</v>
      </c>
      <c r="G19" s="27" t="n">
        <f aca="false">IF(AND(E19&lt;&gt;"",F19&lt;&gt;""),NETWORKDAYS(E19,F19),"")</f>
        <v>3</v>
      </c>
      <c r="H19" s="29" t="n">
        <v>1</v>
      </c>
      <c r="I19" s="27" t="s">
        <v>11</v>
      </c>
      <c r="J19" s="27"/>
      <c r="K19" s="2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</row>
    <row r="20" customFormat="false" ht="15" hidden="false" customHeight="false" outlineLevel="0" collapsed="false">
      <c r="A20" s="27" t="s">
        <v>102</v>
      </c>
      <c r="B20" s="27" t="s">
        <v>103</v>
      </c>
      <c r="C20" s="27" t="s">
        <v>104</v>
      </c>
      <c r="D20" s="27" t="s">
        <v>70</v>
      </c>
      <c r="E20" s="28" t="n">
        <v>46059</v>
      </c>
      <c r="F20" s="28" t="n">
        <v>46063</v>
      </c>
      <c r="G20" s="27" t="n">
        <f aca="false">IF(AND(E20&lt;&gt;"",F20&lt;&gt;""),NETWORKDAYS(E20,F20),"")</f>
        <v>3</v>
      </c>
      <c r="H20" s="29" t="n">
        <v>1</v>
      </c>
      <c r="I20" s="27" t="s">
        <v>11</v>
      </c>
      <c r="J20" s="27" t="s">
        <v>97</v>
      </c>
      <c r="K20" s="27" t="s">
        <v>105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</row>
    <row r="21" customFormat="false" ht="15" hidden="false" customHeight="false" outlineLevel="0" collapsed="false">
      <c r="A21" s="27" t="s">
        <v>106</v>
      </c>
      <c r="B21" s="27" t="s">
        <v>107</v>
      </c>
      <c r="C21" s="27" t="s">
        <v>87</v>
      </c>
      <c r="D21" s="27" t="s">
        <v>70</v>
      </c>
      <c r="E21" s="28" t="n">
        <v>46063</v>
      </c>
      <c r="F21" s="28" t="n">
        <v>46063</v>
      </c>
      <c r="G21" s="27" t="n">
        <f aca="false">IF(AND(E21&lt;&gt;"",F21&lt;&gt;""),NETWORKDAYS(E21,F21),"")</f>
        <v>1</v>
      </c>
      <c r="H21" s="29" t="n">
        <v>1</v>
      </c>
      <c r="I21" s="27" t="s">
        <v>11</v>
      </c>
      <c r="J21" s="27" t="s">
        <v>102</v>
      </c>
      <c r="K21" s="27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</row>
    <row r="22" customFormat="false" ht="30" hidden="false" customHeight="true" outlineLevel="0" collapsed="false">
      <c r="A22" s="27" t="s">
        <v>108</v>
      </c>
      <c r="B22" s="27" t="s">
        <v>109</v>
      </c>
      <c r="C22" s="27" t="s">
        <v>104</v>
      </c>
      <c r="D22" s="27" t="s">
        <v>70</v>
      </c>
      <c r="E22" s="28" t="n">
        <v>46063</v>
      </c>
      <c r="F22" s="28" t="n">
        <v>46066</v>
      </c>
      <c r="G22" s="27" t="n">
        <f aca="false">IF(AND(E22&lt;&gt;"",F22&lt;&gt;""),NETWORKDAYS(E22,F22),"")</f>
        <v>4</v>
      </c>
      <c r="H22" s="29" t="n">
        <v>1</v>
      </c>
      <c r="I22" s="27" t="s">
        <v>11</v>
      </c>
      <c r="J22" s="27" t="s">
        <v>106</v>
      </c>
      <c r="K22" s="27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</row>
    <row r="23" customFormat="false" ht="15" hidden="false" customHeight="false" outlineLevel="0" collapsed="false">
      <c r="A23" s="27" t="s">
        <v>110</v>
      </c>
      <c r="B23" s="27" t="s">
        <v>111</v>
      </c>
      <c r="C23" s="27" t="s">
        <v>87</v>
      </c>
      <c r="D23" s="27" t="s">
        <v>70</v>
      </c>
      <c r="E23" s="28" t="n">
        <v>46067</v>
      </c>
      <c r="F23" s="28" t="n">
        <v>46067</v>
      </c>
      <c r="G23" s="27" t="n">
        <f aca="false">IF(AND(E23&lt;&gt;"",F23&lt;&gt;""),NETWORKDAYS(E23,F23),"")</f>
        <v>0</v>
      </c>
      <c r="H23" s="29" t="n">
        <v>1</v>
      </c>
      <c r="I23" s="27" t="s">
        <v>11</v>
      </c>
      <c r="J23" s="27" t="s">
        <v>108</v>
      </c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</row>
    <row r="24" customFormat="false" ht="30" hidden="false" customHeight="true" outlineLevel="0" collapsed="false">
      <c r="A24" s="27" t="s">
        <v>112</v>
      </c>
      <c r="B24" s="27" t="s">
        <v>113</v>
      </c>
      <c r="C24" s="27" t="s">
        <v>114</v>
      </c>
      <c r="D24" s="27" t="s">
        <v>70</v>
      </c>
      <c r="E24" s="28" t="n">
        <v>46067</v>
      </c>
      <c r="F24" s="28" t="n">
        <v>46070</v>
      </c>
      <c r="G24" s="27" t="n">
        <f aca="false">IF(AND(E24&lt;&gt;"",F24&lt;&gt;""),NETWORKDAYS(E24,F24),"")</f>
        <v>2</v>
      </c>
      <c r="H24" s="29" t="n">
        <v>1</v>
      </c>
      <c r="I24" s="27" t="s">
        <v>11</v>
      </c>
      <c r="J24" s="27" t="s">
        <v>110</v>
      </c>
      <c r="K24" s="27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</row>
    <row r="25" customFormat="false" ht="15" hidden="false" customHeight="false" outlineLevel="0" collapsed="false">
      <c r="A25" s="27" t="s">
        <v>115</v>
      </c>
      <c r="B25" s="27" t="s">
        <v>116</v>
      </c>
      <c r="C25" s="27" t="s">
        <v>87</v>
      </c>
      <c r="D25" s="27" t="s">
        <v>70</v>
      </c>
      <c r="E25" s="28" t="n">
        <v>46070</v>
      </c>
      <c r="F25" s="28" t="n">
        <v>46070</v>
      </c>
      <c r="G25" s="27" t="n">
        <f aca="false">IF(AND(E25&lt;&gt;"",F25&lt;&gt;""),NETWORKDAYS(E25,F25),"")</f>
        <v>1</v>
      </c>
      <c r="H25" s="29" t="n">
        <v>1</v>
      </c>
      <c r="I25" s="27" t="s">
        <v>11</v>
      </c>
      <c r="J25" s="27" t="s">
        <v>112</v>
      </c>
      <c r="K25" s="2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</row>
    <row r="26" customFormat="false" ht="15" hidden="false" customHeight="false" outlineLevel="0" collapsed="false">
      <c r="A26" s="27" t="s">
        <v>117</v>
      </c>
      <c r="B26" s="27" t="s">
        <v>118</v>
      </c>
      <c r="C26" s="27" t="s">
        <v>87</v>
      </c>
      <c r="D26" s="27" t="s">
        <v>70</v>
      </c>
      <c r="E26" s="28" t="n">
        <v>46070</v>
      </c>
      <c r="F26" s="28" t="n">
        <v>46070</v>
      </c>
      <c r="G26" s="27" t="n">
        <f aca="false">IF(AND(E26&lt;&gt;"",F26&lt;&gt;""),NETWORKDAYS(E26,F26),"")</f>
        <v>1</v>
      </c>
      <c r="H26" s="29" t="n">
        <v>1</v>
      </c>
      <c r="I26" s="27" t="s">
        <v>11</v>
      </c>
      <c r="J26" s="27" t="s">
        <v>115</v>
      </c>
      <c r="K26" s="27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</row>
    <row r="27" customFormat="false" ht="30" hidden="false" customHeight="true" outlineLevel="0" collapsed="false">
      <c r="A27" s="27" t="s">
        <v>119</v>
      </c>
      <c r="B27" s="27" t="s">
        <v>120</v>
      </c>
      <c r="C27" s="27" t="s">
        <v>121</v>
      </c>
      <c r="D27" s="27" t="s">
        <v>70</v>
      </c>
      <c r="E27" s="28" t="n">
        <v>46050</v>
      </c>
      <c r="F27" s="28" t="n">
        <v>46084</v>
      </c>
      <c r="G27" s="27" t="n">
        <f aca="false">IF(AND(E27&lt;&gt;"",F27&lt;&gt;""),NETWORKDAYS(E27,F27),"")</f>
        <v>25</v>
      </c>
      <c r="H27" s="29" t="n">
        <v>1</v>
      </c>
      <c r="I27" s="27" t="s">
        <v>11</v>
      </c>
      <c r="J27" s="27"/>
      <c r="K27" s="27" t="s">
        <v>122</v>
      </c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</row>
    <row r="28" customFormat="false" ht="15" hidden="false" customHeight="false" outlineLevel="0" collapsed="false">
      <c r="A28" s="27" t="s">
        <v>123</v>
      </c>
      <c r="B28" s="27" t="s">
        <v>124</v>
      </c>
      <c r="C28" s="27" t="s">
        <v>87</v>
      </c>
      <c r="D28" s="27" t="s">
        <v>70</v>
      </c>
      <c r="E28" s="28" t="n">
        <v>46084</v>
      </c>
      <c r="F28" s="28" t="n">
        <v>46084</v>
      </c>
      <c r="G28" s="27" t="n">
        <f aca="false">IF(AND(E28&lt;&gt;"",F28&lt;&gt;""),NETWORKDAYS(E28,F28),"")</f>
        <v>1</v>
      </c>
      <c r="H28" s="29" t="n">
        <v>1</v>
      </c>
      <c r="I28" s="27" t="s">
        <v>11</v>
      </c>
      <c r="J28" s="27" t="s">
        <v>119</v>
      </c>
      <c r="K28" s="27" t="s">
        <v>125</v>
      </c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</row>
  </sheetData>
  <mergeCells count="5">
    <mergeCell ref="A1:AE1"/>
    <mergeCell ref="A2:AE2"/>
    <mergeCell ref="A3:AE3"/>
    <mergeCell ref="B4:L4"/>
    <mergeCell ref="A5:K5"/>
  </mergeCells>
  <conditionalFormatting sqref="I9:I200">
    <cfRule type="expression" priority="2" aboveAverage="0" equalAverage="0" bottom="0" percent="0" rank="0" text="" dxfId="3">
      <formula>I9="Done"</formula>
    </cfRule>
    <cfRule type="expression" priority="3" aboveAverage="0" equalAverage="0" bottom="0" percent="0" rank="0" text="" dxfId="4">
      <formula>I9="In Progress"</formula>
    </cfRule>
    <cfRule type="expression" priority="4" aboveAverage="0" equalAverage="0" bottom="0" percent="0" rank="0" text="" dxfId="5">
      <formula>I9="Not Started"</formula>
    </cfRule>
    <cfRule type="expression" priority="5" aboveAverage="0" equalAverage="0" bottom="0" percent="0" rank="0" text="" dxfId="6">
      <formula>I9="Blocked"</formula>
    </cfRule>
    <cfRule type="expression" priority="6" aboveAverage="0" equalAverage="0" bottom="0" percent="0" rank="0" text="" dxfId="0">
      <formula>I9="Done"</formula>
    </cfRule>
    <cfRule type="expression" priority="7" aboveAverage="0" equalAverage="0" bottom="0" percent="0" rank="0" text="" dxfId="1">
      <formula>I9="In Progress"</formula>
    </cfRule>
    <cfRule type="expression" priority="8" aboveAverage="0" equalAverage="0" bottom="0" percent="0" rank="0" text="" dxfId="2">
      <formula>I9="Not Started"</formula>
    </cfRule>
    <cfRule type="expression" priority="9" aboveAverage="0" equalAverage="0" bottom="0" percent="0" rank="0" text="" dxfId="7">
      <formula>I9="Blocked"</formula>
    </cfRule>
  </conditionalFormatting>
  <conditionalFormatting sqref="L9:AJ200">
    <cfRule type="expression" priority="10" aboveAverage="0" equalAverage="0" bottom="0" percent="0" rank="0" text="" dxfId="3">
      <formula>AND(L$7&gt;=$E9,L$7&lt;=$F9,$I9="Done")</formula>
    </cfRule>
    <cfRule type="expression" priority="11" aboveAverage="0" equalAverage="0" bottom="0" percent="0" rank="0" text="" dxfId="4">
      <formula>AND(L$7&gt;=$E9,L$7&lt;=$F9,$I9="In Progress")</formula>
    </cfRule>
    <cfRule type="expression" priority="12" aboveAverage="0" equalAverage="0" bottom="0" percent="0" rank="0" text="" dxfId="8">
      <formula>AND(L$7&gt;=$E9,L$7&lt;=$F9,$I9="Not Started")</formula>
    </cfRule>
    <cfRule type="expression" priority="13" aboveAverage="0" equalAverage="0" bottom="0" percent="0" rank="0" text="" dxfId="6">
      <formula>AND(L$7&gt;=$E9,L$7&lt;=$F9,$I9="Blocked")</formula>
    </cfRule>
  </conditionalFormatting>
  <conditionalFormatting sqref="H9:H200">
    <cfRule type="dataBar" priority="14">
      <dataBar showValue="1" minLength="10" maxLength="90">
        <cfvo type="num" val="0"/>
        <cfvo type="num" val="1"/>
        <color rgb="FF0B7285"/>
      </dataBar>
      <extLst>
        <ext xmlns:x14="http://schemas.microsoft.com/office/spreadsheetml/2009/9/main" uri="{B025F937-C7B1-47D3-B67F-A62EFF666E3E}">
          <x14:id>{69E876F0-4089-4726-A5F0-285633502749}</x14:id>
        </ext>
      </extLst>
    </cfRule>
  </conditionalFormatting>
  <dataValidations count="1">
    <dataValidation allowBlank="true" errorStyle="stop" operator="between" showDropDown="true" showErrorMessage="false" showInputMessage="false" sqref="I9:I200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E876F0-4089-4726-A5F0-285633502749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0B7285"/>
              <x14:axisColor rgb="FF000000"/>
            </x14:dataBar>
          </x14:cfRule>
          <xm:sqref>H9:H200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6" activeCellId="0" sqref="J16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8"/>
    <col collapsed="false" customWidth="true" hidden="false" outlineLevel="0" max="3" min="3" style="1" width="26"/>
    <col collapsed="false" customWidth="true" hidden="false" outlineLevel="0" max="4" min="4" style="1" width="6"/>
    <col collapsed="false" customWidth="true" hidden="false" outlineLevel="0" max="5" min="5" style="1" width="12"/>
    <col collapsed="false" customWidth="true" hidden="false" outlineLevel="0" max="6" min="6" style="1" width="14"/>
    <col collapsed="false" customWidth="true" hidden="false" outlineLevel="0" max="7" min="7" style="1" width="18"/>
    <col collapsed="false" customWidth="true" hidden="false" outlineLevel="0" max="10" min="8" style="1" width="10"/>
    <col collapsed="false" customWidth="true" hidden="false" outlineLevel="0" max="11" min="11" style="1" width="12"/>
    <col collapsed="false" customWidth="true" hidden="false" outlineLevel="0" max="12" min="12" style="1" width="36"/>
  </cols>
  <sheetData>
    <row r="1" customFormat="false" ht="23.25" hidden="false" customHeight="true" outlineLevel="0" collapsed="false">
      <c r="A1" s="2" t="s">
        <v>126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5" hidden="false" customHeight="false" outlineLevel="0" collapsed="false">
      <c r="A2" s="3" t="s">
        <v>127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15" hidden="false" customHeight="false" outlineLevel="0" collapsed="false">
      <c r="A3" s="4" t="s">
        <v>128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5" customFormat="false" ht="15" hidden="false" customHeight="true" outlineLevel="0" collapsed="false">
      <c r="A5" s="21" t="s">
        <v>129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7" customFormat="false" ht="30" hidden="false" customHeight="true" outlineLevel="0" collapsed="false">
      <c r="A7" s="11" t="s">
        <v>56</v>
      </c>
      <c r="B7" s="11" t="s">
        <v>130</v>
      </c>
      <c r="C7" s="11" t="s">
        <v>131</v>
      </c>
      <c r="D7" s="11" t="s">
        <v>132</v>
      </c>
      <c r="E7" s="11" t="s">
        <v>133</v>
      </c>
      <c r="F7" s="11" t="s">
        <v>134</v>
      </c>
      <c r="G7" s="11" t="s">
        <v>135</v>
      </c>
      <c r="H7" s="11" t="s">
        <v>136</v>
      </c>
      <c r="I7" s="11" t="s">
        <v>137</v>
      </c>
      <c r="J7" s="11" t="s">
        <v>138</v>
      </c>
      <c r="K7" s="11" t="s">
        <v>16</v>
      </c>
      <c r="L7" s="11" t="s">
        <v>17</v>
      </c>
    </row>
    <row r="8" customFormat="false" ht="15" hidden="false" customHeight="false" outlineLevel="0" collapsed="false">
      <c r="A8" s="27" t="s">
        <v>139</v>
      </c>
      <c r="B8" s="27" t="s">
        <v>140</v>
      </c>
      <c r="C8" s="27" t="s">
        <v>141</v>
      </c>
      <c r="D8" s="27" t="n">
        <v>1</v>
      </c>
      <c r="E8" s="27" t="s">
        <v>142</v>
      </c>
      <c r="F8" s="27" t="s">
        <v>143</v>
      </c>
      <c r="G8" s="27" t="s">
        <v>144</v>
      </c>
      <c r="H8" s="33" t="n">
        <v>0</v>
      </c>
      <c r="I8" s="33" t="n">
        <f aca="false">H8*D8</f>
        <v>0</v>
      </c>
      <c r="J8" s="27" t="s">
        <v>145</v>
      </c>
      <c r="K8" s="27" t="s">
        <v>46</v>
      </c>
      <c r="L8" s="27" t="s">
        <v>146</v>
      </c>
    </row>
    <row r="9" customFormat="false" ht="30" hidden="false" customHeight="true" outlineLevel="0" collapsed="false">
      <c r="A9" s="27" t="s">
        <v>139</v>
      </c>
      <c r="B9" s="27" t="s">
        <v>147</v>
      </c>
      <c r="C9" s="27" t="s">
        <v>148</v>
      </c>
      <c r="D9" s="27" t="n">
        <v>1</v>
      </c>
      <c r="E9" s="27" t="s">
        <v>142</v>
      </c>
      <c r="F9" s="27" t="s">
        <v>143</v>
      </c>
      <c r="G9" s="27" t="s">
        <v>149</v>
      </c>
      <c r="H9" s="33" t="n">
        <v>0</v>
      </c>
      <c r="I9" s="33" t="n">
        <f aca="false">H9*D9</f>
        <v>0</v>
      </c>
      <c r="J9" s="27" t="s">
        <v>145</v>
      </c>
      <c r="K9" s="27" t="s">
        <v>46</v>
      </c>
      <c r="L9" s="27" t="s">
        <v>150</v>
      </c>
    </row>
    <row r="10" customFormat="false" ht="15" hidden="false" customHeight="false" outlineLevel="0" collapsed="false">
      <c r="A10" s="27" t="s">
        <v>151</v>
      </c>
      <c r="B10" s="27" t="s">
        <v>152</v>
      </c>
      <c r="C10" s="27" t="s">
        <v>153</v>
      </c>
      <c r="D10" s="27" t="n">
        <v>1</v>
      </c>
      <c r="E10" s="27" t="s">
        <v>142</v>
      </c>
      <c r="F10" s="27" t="s">
        <v>143</v>
      </c>
      <c r="G10" s="27" t="s">
        <v>154</v>
      </c>
      <c r="H10" s="33" t="n">
        <v>0</v>
      </c>
      <c r="I10" s="33" t="n">
        <f aca="false">H10*D10</f>
        <v>0</v>
      </c>
      <c r="J10" s="27" t="s">
        <v>145</v>
      </c>
      <c r="K10" s="27" t="s">
        <v>46</v>
      </c>
      <c r="L10" s="27" t="s">
        <v>155</v>
      </c>
    </row>
    <row r="11" customFormat="false" ht="28.35" hidden="false" customHeight="false" outlineLevel="0" collapsed="false">
      <c r="A11" s="27" t="s">
        <v>151</v>
      </c>
      <c r="B11" s="27" t="s">
        <v>156</v>
      </c>
      <c r="C11" s="27" t="s">
        <v>157</v>
      </c>
      <c r="D11" s="27" t="n">
        <v>4</v>
      </c>
      <c r="E11" s="27" t="s">
        <v>142</v>
      </c>
      <c r="F11" s="27" t="s">
        <v>143</v>
      </c>
      <c r="G11" s="27" t="s">
        <v>158</v>
      </c>
      <c r="H11" s="33" t="n">
        <v>0</v>
      </c>
      <c r="I11" s="33" t="n">
        <f aca="false">H11*D11</f>
        <v>0</v>
      </c>
      <c r="J11" s="27" t="s">
        <v>145</v>
      </c>
      <c r="K11" s="27" t="s">
        <v>46</v>
      </c>
      <c r="L11" s="27" t="s">
        <v>159</v>
      </c>
    </row>
    <row r="12" customFormat="false" ht="30" hidden="false" customHeight="true" outlineLevel="0" collapsed="false">
      <c r="A12" s="27" t="s">
        <v>151</v>
      </c>
      <c r="B12" s="27" t="s">
        <v>160</v>
      </c>
      <c r="C12" s="27" t="s">
        <v>161</v>
      </c>
      <c r="D12" s="27" t="n">
        <v>1</v>
      </c>
      <c r="E12" s="27" t="s">
        <v>142</v>
      </c>
      <c r="F12" s="27" t="s">
        <v>143</v>
      </c>
      <c r="G12" s="27" t="s">
        <v>162</v>
      </c>
      <c r="H12" s="33" t="n">
        <v>0</v>
      </c>
      <c r="I12" s="33" t="n">
        <f aca="false">H12*D12</f>
        <v>0</v>
      </c>
      <c r="J12" s="27" t="s">
        <v>145</v>
      </c>
      <c r="K12" s="27" t="s">
        <v>46</v>
      </c>
      <c r="L12" s="27" t="s">
        <v>163</v>
      </c>
    </row>
    <row r="13" customFormat="false" ht="30" hidden="false" customHeight="true" outlineLevel="0" collapsed="false">
      <c r="A13" s="27" t="s">
        <v>151</v>
      </c>
      <c r="B13" s="27" t="s">
        <v>164</v>
      </c>
      <c r="C13" s="27" t="s">
        <v>165</v>
      </c>
      <c r="D13" s="27" t="n">
        <v>1</v>
      </c>
      <c r="E13" s="27" t="s">
        <v>142</v>
      </c>
      <c r="F13" s="27" t="s">
        <v>143</v>
      </c>
      <c r="G13" s="27" t="s">
        <v>166</v>
      </c>
      <c r="H13" s="33" t="n">
        <v>0</v>
      </c>
      <c r="I13" s="33" t="n">
        <f aca="false">H13*D13</f>
        <v>0</v>
      </c>
      <c r="J13" s="27" t="s">
        <v>167</v>
      </c>
      <c r="K13" s="27" t="s">
        <v>46</v>
      </c>
      <c r="L13" s="27" t="s">
        <v>168</v>
      </c>
    </row>
    <row r="14" customFormat="false" ht="15" hidden="false" customHeight="false" outlineLevel="0" collapsed="false">
      <c r="A14" s="27" t="s">
        <v>169</v>
      </c>
      <c r="B14" s="27" t="s">
        <v>170</v>
      </c>
      <c r="C14" s="27" t="s">
        <v>171</v>
      </c>
      <c r="D14" s="27" t="n">
        <v>1</v>
      </c>
      <c r="E14" s="27" t="s">
        <v>142</v>
      </c>
      <c r="F14" s="27" t="s">
        <v>143</v>
      </c>
      <c r="G14" s="27" t="s">
        <v>172</v>
      </c>
      <c r="H14" s="33" t="n">
        <v>0</v>
      </c>
      <c r="I14" s="33" t="n">
        <f aca="false">H14*D14</f>
        <v>0</v>
      </c>
      <c r="J14" s="27" t="s">
        <v>145</v>
      </c>
      <c r="K14" s="27" t="s">
        <v>46</v>
      </c>
      <c r="L14" s="27" t="s">
        <v>173</v>
      </c>
    </row>
    <row r="15" customFormat="false" ht="28.35" hidden="false" customHeight="false" outlineLevel="0" collapsed="false">
      <c r="A15" s="27" t="s">
        <v>169</v>
      </c>
      <c r="B15" s="27" t="s">
        <v>174</v>
      </c>
      <c r="C15" s="27" t="s">
        <v>175</v>
      </c>
      <c r="D15" s="27" t="n">
        <v>2</v>
      </c>
      <c r="E15" s="27" t="s">
        <v>142</v>
      </c>
      <c r="F15" s="27" t="s">
        <v>143</v>
      </c>
      <c r="G15" s="27" t="s">
        <v>176</v>
      </c>
      <c r="H15" s="33" t="n">
        <v>0</v>
      </c>
      <c r="I15" s="33" t="n">
        <f aca="false">H15*D15</f>
        <v>0</v>
      </c>
      <c r="J15" s="27" t="s">
        <v>145</v>
      </c>
      <c r="K15" s="27" t="s">
        <v>46</v>
      </c>
      <c r="L15" s="27" t="s">
        <v>177</v>
      </c>
    </row>
    <row r="16" customFormat="false" ht="30" hidden="false" customHeight="true" outlineLevel="0" collapsed="false">
      <c r="A16" s="27" t="s">
        <v>169</v>
      </c>
      <c r="B16" s="27" t="s">
        <v>178</v>
      </c>
      <c r="C16" s="27" t="s">
        <v>179</v>
      </c>
      <c r="D16" s="27" t="n">
        <v>3</v>
      </c>
      <c r="E16" s="27" t="s">
        <v>142</v>
      </c>
      <c r="F16" s="27" t="s">
        <v>143</v>
      </c>
      <c r="G16" s="27" t="s">
        <v>180</v>
      </c>
      <c r="H16" s="33" t="n">
        <v>0</v>
      </c>
      <c r="I16" s="33" t="n">
        <f aca="false">H16*D16</f>
        <v>0</v>
      </c>
      <c r="J16" s="27" t="s">
        <v>145</v>
      </c>
      <c r="K16" s="27" t="s">
        <v>46</v>
      </c>
      <c r="L16" s="27" t="s">
        <v>181</v>
      </c>
    </row>
    <row r="17" customFormat="false" ht="15" hidden="false" customHeight="false" outlineLevel="0" collapsed="false">
      <c r="A17" s="27" t="s">
        <v>169</v>
      </c>
      <c r="B17" s="27" t="s">
        <v>182</v>
      </c>
      <c r="C17" s="27" t="s">
        <v>183</v>
      </c>
      <c r="D17" s="27" t="n">
        <v>1</v>
      </c>
      <c r="E17" s="27" t="s">
        <v>142</v>
      </c>
      <c r="F17" s="27" t="s">
        <v>143</v>
      </c>
      <c r="G17" s="27" t="s">
        <v>184</v>
      </c>
      <c r="H17" s="33" t="n">
        <v>0</v>
      </c>
      <c r="I17" s="33" t="n">
        <f aca="false">H17*D17</f>
        <v>0</v>
      </c>
      <c r="J17" s="27" t="s">
        <v>167</v>
      </c>
      <c r="K17" s="27" t="s">
        <v>46</v>
      </c>
      <c r="L17" s="27" t="s">
        <v>185</v>
      </c>
    </row>
    <row r="18" customFormat="false" ht="28.35" hidden="false" customHeight="false" outlineLevel="0" collapsed="false">
      <c r="A18" s="27" t="s">
        <v>169</v>
      </c>
      <c r="B18" s="27" t="s">
        <v>186</v>
      </c>
      <c r="C18" s="27" t="s">
        <v>187</v>
      </c>
      <c r="D18" s="27" t="n">
        <v>1</v>
      </c>
      <c r="E18" s="27" t="s">
        <v>142</v>
      </c>
      <c r="F18" s="27" t="s">
        <v>143</v>
      </c>
      <c r="G18" s="27" t="s">
        <v>188</v>
      </c>
      <c r="H18" s="33" t="n">
        <v>0</v>
      </c>
      <c r="I18" s="33" t="n">
        <f aca="false">H18*D18</f>
        <v>0</v>
      </c>
      <c r="J18" s="27" t="s">
        <v>145</v>
      </c>
      <c r="K18" s="27" t="s">
        <v>46</v>
      </c>
      <c r="L18" s="27" t="s">
        <v>189</v>
      </c>
    </row>
    <row r="19" customFormat="false" ht="15" hidden="false" customHeight="false" outlineLevel="0" collapsed="false">
      <c r="A19" s="27" t="s">
        <v>190</v>
      </c>
      <c r="B19" s="27" t="s">
        <v>191</v>
      </c>
      <c r="C19" s="27" t="s">
        <v>192</v>
      </c>
      <c r="D19" s="27" t="n">
        <v>1</v>
      </c>
      <c r="E19" s="27" t="s">
        <v>142</v>
      </c>
      <c r="F19" s="27" t="s">
        <v>143</v>
      </c>
      <c r="G19" s="27" t="s">
        <v>193</v>
      </c>
      <c r="H19" s="33" t="n">
        <v>0</v>
      </c>
      <c r="I19" s="33" t="n">
        <f aca="false">H19*D19</f>
        <v>0</v>
      </c>
      <c r="J19" s="27" t="s">
        <v>145</v>
      </c>
      <c r="K19" s="27" t="s">
        <v>46</v>
      </c>
      <c r="L19" s="27" t="s">
        <v>194</v>
      </c>
    </row>
    <row r="20" customFormat="false" ht="28.35" hidden="false" customHeight="false" outlineLevel="0" collapsed="false">
      <c r="A20" s="27" t="s">
        <v>190</v>
      </c>
      <c r="B20" s="27" t="s">
        <v>195</v>
      </c>
      <c r="C20" s="27" t="s">
        <v>196</v>
      </c>
      <c r="D20" s="27" t="n">
        <v>2</v>
      </c>
      <c r="E20" s="27" t="s">
        <v>142</v>
      </c>
      <c r="F20" s="27" t="s">
        <v>143</v>
      </c>
      <c r="G20" s="27" t="s">
        <v>197</v>
      </c>
      <c r="H20" s="33" t="n">
        <v>0</v>
      </c>
      <c r="I20" s="33" t="n">
        <f aca="false">H20*D20</f>
        <v>0</v>
      </c>
      <c r="J20" s="27" t="s">
        <v>145</v>
      </c>
      <c r="K20" s="27" t="s">
        <v>46</v>
      </c>
      <c r="L20" s="27" t="s">
        <v>198</v>
      </c>
    </row>
    <row r="21" customFormat="false" ht="15" hidden="false" customHeight="false" outlineLevel="0" collapsed="false">
      <c r="A21" s="27" t="s">
        <v>199</v>
      </c>
      <c r="B21" s="27" t="s">
        <v>200</v>
      </c>
      <c r="C21" s="27" t="s">
        <v>201</v>
      </c>
      <c r="D21" s="27" t="n">
        <v>1</v>
      </c>
      <c r="E21" s="27" t="s">
        <v>142</v>
      </c>
      <c r="F21" s="27" t="s">
        <v>143</v>
      </c>
      <c r="G21" s="27" t="s">
        <v>202</v>
      </c>
      <c r="H21" s="33" t="n">
        <v>0</v>
      </c>
      <c r="I21" s="33" t="n">
        <f aca="false">H21*D21</f>
        <v>0</v>
      </c>
      <c r="J21" s="27" t="s">
        <v>145</v>
      </c>
      <c r="K21" s="27" t="s">
        <v>46</v>
      </c>
      <c r="L21" s="27" t="s">
        <v>203</v>
      </c>
    </row>
    <row r="22" customFormat="false" ht="30" hidden="false" customHeight="true" outlineLevel="0" collapsed="false">
      <c r="A22" s="27" t="s">
        <v>199</v>
      </c>
      <c r="B22" s="27" t="s">
        <v>204</v>
      </c>
      <c r="C22" s="27" t="s">
        <v>205</v>
      </c>
      <c r="D22" s="27" t="n">
        <v>1</v>
      </c>
      <c r="E22" s="27" t="s">
        <v>142</v>
      </c>
      <c r="F22" s="27" t="s">
        <v>143</v>
      </c>
      <c r="G22" s="27" t="s">
        <v>206</v>
      </c>
      <c r="H22" s="33" t="n">
        <v>0</v>
      </c>
      <c r="I22" s="33" t="n">
        <f aca="false">H22*D22</f>
        <v>0</v>
      </c>
      <c r="J22" s="27" t="s">
        <v>145</v>
      </c>
      <c r="K22" s="27" t="s">
        <v>46</v>
      </c>
      <c r="L22" s="27" t="s">
        <v>207</v>
      </c>
    </row>
    <row r="23" customFormat="false" ht="30" hidden="false" customHeight="true" outlineLevel="0" collapsed="false">
      <c r="A23" s="27" t="s">
        <v>208</v>
      </c>
      <c r="B23" s="27" t="s">
        <v>209</v>
      </c>
      <c r="C23" s="27" t="s">
        <v>210</v>
      </c>
      <c r="D23" s="27" t="n">
        <v>1</v>
      </c>
      <c r="E23" s="27" t="s">
        <v>142</v>
      </c>
      <c r="F23" s="27" t="s">
        <v>143</v>
      </c>
      <c r="G23" s="27" t="s">
        <v>211</v>
      </c>
      <c r="H23" s="33" t="n">
        <v>0</v>
      </c>
      <c r="I23" s="33" t="n">
        <f aca="false">H23*D23</f>
        <v>0</v>
      </c>
      <c r="J23" s="27" t="s">
        <v>145</v>
      </c>
      <c r="K23" s="27" t="s">
        <v>46</v>
      </c>
      <c r="L23" s="27" t="s">
        <v>212</v>
      </c>
    </row>
    <row r="24" customFormat="false" ht="30" hidden="false" customHeight="true" outlineLevel="0" collapsed="false">
      <c r="A24" s="27" t="s">
        <v>213</v>
      </c>
      <c r="B24" s="27" t="s">
        <v>214</v>
      </c>
      <c r="C24" s="27" t="s">
        <v>215</v>
      </c>
      <c r="D24" s="27" t="n">
        <v>1</v>
      </c>
      <c r="E24" s="27" t="s">
        <v>142</v>
      </c>
      <c r="F24" s="27" t="s">
        <v>143</v>
      </c>
      <c r="G24" s="27" t="s">
        <v>216</v>
      </c>
      <c r="H24" s="33" t="n">
        <v>0</v>
      </c>
      <c r="I24" s="33" t="n">
        <f aca="false">H24*D24</f>
        <v>0</v>
      </c>
      <c r="J24" s="27" t="s">
        <v>145</v>
      </c>
      <c r="K24" s="27" t="s">
        <v>46</v>
      </c>
      <c r="L24" s="27" t="s">
        <v>217</v>
      </c>
    </row>
    <row r="25" customFormat="false" ht="28.35" hidden="false" customHeight="false" outlineLevel="0" collapsed="false">
      <c r="A25" s="27" t="s">
        <v>218</v>
      </c>
      <c r="B25" s="27" t="s">
        <v>219</v>
      </c>
      <c r="C25" s="27" t="s">
        <v>220</v>
      </c>
      <c r="D25" s="27" t="n">
        <v>5</v>
      </c>
      <c r="E25" s="27" t="s">
        <v>142</v>
      </c>
      <c r="F25" s="27" t="s">
        <v>143</v>
      </c>
      <c r="G25" s="27" t="s">
        <v>221</v>
      </c>
      <c r="H25" s="33" t="n">
        <v>0</v>
      </c>
      <c r="I25" s="33" t="n">
        <f aca="false">H25*D25</f>
        <v>0</v>
      </c>
      <c r="J25" s="27" t="s">
        <v>167</v>
      </c>
      <c r="K25" s="27" t="s">
        <v>46</v>
      </c>
      <c r="L25" s="27" t="s">
        <v>222</v>
      </c>
    </row>
    <row r="26" customFormat="false" ht="30" hidden="false" customHeight="true" outlineLevel="0" collapsed="false">
      <c r="A26" s="27" t="s">
        <v>223</v>
      </c>
      <c r="B26" s="27" t="s">
        <v>224</v>
      </c>
      <c r="C26" s="27" t="s">
        <v>225</v>
      </c>
      <c r="D26" s="27" t="n">
        <v>1</v>
      </c>
      <c r="E26" s="27" t="s">
        <v>142</v>
      </c>
      <c r="F26" s="27" t="s">
        <v>143</v>
      </c>
      <c r="G26" s="27" t="s">
        <v>226</v>
      </c>
      <c r="H26" s="33" t="n">
        <v>0</v>
      </c>
      <c r="I26" s="33" t="n">
        <f aca="false">H26*D26</f>
        <v>0</v>
      </c>
      <c r="J26" s="27" t="s">
        <v>145</v>
      </c>
      <c r="K26" s="27" t="s">
        <v>46</v>
      </c>
      <c r="L26" s="27" t="s">
        <v>227</v>
      </c>
    </row>
    <row r="27" customFormat="false" ht="15" hidden="false" customHeight="false" outlineLevel="0" collapsed="false">
      <c r="A27" s="27" t="s">
        <v>208</v>
      </c>
      <c r="B27" s="27" t="s">
        <v>228</v>
      </c>
      <c r="C27" s="27" t="s">
        <v>229</v>
      </c>
      <c r="D27" s="27" t="n">
        <v>1</v>
      </c>
      <c r="E27" s="27" t="s">
        <v>230</v>
      </c>
      <c r="F27" s="27"/>
      <c r="G27" s="27"/>
      <c r="H27" s="33"/>
      <c r="I27" s="33" t="n">
        <f aca="false">IFERROR(H27*D27,"")</f>
        <v>0</v>
      </c>
      <c r="J27" s="27" t="s">
        <v>145</v>
      </c>
      <c r="K27" s="27" t="s">
        <v>44</v>
      </c>
      <c r="L27" s="27" t="s">
        <v>231</v>
      </c>
    </row>
    <row r="28" customFormat="false" ht="30" hidden="false" customHeight="true" outlineLevel="0" collapsed="false">
      <c r="A28" s="27" t="s">
        <v>208</v>
      </c>
      <c r="B28" s="27" t="s">
        <v>232</v>
      </c>
      <c r="C28" s="27" t="s">
        <v>233</v>
      </c>
      <c r="D28" s="27" t="n">
        <v>1</v>
      </c>
      <c r="E28" s="27" t="s">
        <v>230</v>
      </c>
      <c r="F28" s="27"/>
      <c r="G28" s="27"/>
      <c r="H28" s="33"/>
      <c r="I28" s="33" t="n">
        <f aca="false">IFERROR(H28*D28,"")</f>
        <v>0</v>
      </c>
      <c r="J28" s="27" t="s">
        <v>234</v>
      </c>
      <c r="K28" s="27" t="s">
        <v>47</v>
      </c>
      <c r="L28" s="27" t="s">
        <v>235</v>
      </c>
    </row>
    <row r="29" customFormat="false" ht="30" hidden="false" customHeight="true" outlineLevel="0" collapsed="false">
      <c r="A29" s="27" t="s">
        <v>223</v>
      </c>
      <c r="B29" s="27" t="s">
        <v>236</v>
      </c>
      <c r="C29" s="27" t="s">
        <v>237</v>
      </c>
      <c r="D29" s="27" t="n">
        <v>1</v>
      </c>
      <c r="E29" s="27" t="s">
        <v>142</v>
      </c>
      <c r="F29" s="27"/>
      <c r="G29" s="27"/>
      <c r="H29" s="33"/>
      <c r="I29" s="33" t="n">
        <f aca="false">IFERROR(H29*D29,"")</f>
        <v>0</v>
      </c>
      <c r="J29" s="27" t="s">
        <v>145</v>
      </c>
      <c r="K29" s="27" t="s">
        <v>43</v>
      </c>
      <c r="L29" s="27" t="s">
        <v>238</v>
      </c>
    </row>
    <row r="30" customFormat="false" ht="15" hidden="false" customHeight="false" outlineLevel="0" collapsed="false">
      <c r="A30" s="27" t="s">
        <v>223</v>
      </c>
      <c r="B30" s="27" t="s">
        <v>239</v>
      </c>
      <c r="C30" s="27" t="s">
        <v>240</v>
      </c>
      <c r="D30" s="27" t="n">
        <v>1</v>
      </c>
      <c r="E30" s="27" t="s">
        <v>230</v>
      </c>
      <c r="F30" s="27"/>
      <c r="G30" s="27"/>
      <c r="H30" s="33"/>
      <c r="I30" s="33" t="n">
        <f aca="false">IFERROR(H30*D30,"")</f>
        <v>0</v>
      </c>
      <c r="J30" s="27" t="s">
        <v>167</v>
      </c>
      <c r="K30" s="27" t="s">
        <v>44</v>
      </c>
      <c r="L30" s="27"/>
    </row>
    <row r="31" customFormat="false" ht="15" hidden="false" customHeight="false" outlineLevel="0" collapsed="false">
      <c r="A31" s="27" t="s">
        <v>223</v>
      </c>
      <c r="B31" s="27" t="s">
        <v>241</v>
      </c>
      <c r="C31" s="27" t="s">
        <v>242</v>
      </c>
      <c r="D31" s="27" t="n">
        <v>1</v>
      </c>
      <c r="E31" s="27" t="s">
        <v>230</v>
      </c>
      <c r="F31" s="27"/>
      <c r="G31" s="27"/>
      <c r="H31" s="33"/>
      <c r="I31" s="33" t="n">
        <f aca="false">IFERROR(H31*D31,"")</f>
        <v>0</v>
      </c>
      <c r="J31" s="27" t="s">
        <v>234</v>
      </c>
      <c r="K31" s="27" t="s">
        <v>47</v>
      </c>
      <c r="L31" s="27" t="s">
        <v>243</v>
      </c>
    </row>
    <row r="32" customFormat="false" ht="15" hidden="false" customHeight="false" outlineLevel="0" collapsed="false">
      <c r="A32" s="27" t="s">
        <v>223</v>
      </c>
      <c r="B32" s="27" t="s">
        <v>244</v>
      </c>
      <c r="C32" s="27" t="s">
        <v>245</v>
      </c>
      <c r="D32" s="27" t="n">
        <v>1</v>
      </c>
      <c r="E32" s="27" t="s">
        <v>230</v>
      </c>
      <c r="F32" s="27"/>
      <c r="G32" s="27"/>
      <c r="H32" s="33"/>
      <c r="I32" s="33" t="n">
        <f aca="false">IFERROR(H32*D32,"")</f>
        <v>0</v>
      </c>
      <c r="J32" s="27" t="s">
        <v>234</v>
      </c>
      <c r="K32" s="27" t="s">
        <v>47</v>
      </c>
      <c r="L32" s="27" t="s">
        <v>246</v>
      </c>
    </row>
    <row r="33" customFormat="false" ht="30" hidden="false" customHeight="true" outlineLevel="0" collapsed="false">
      <c r="A33" s="27" t="s">
        <v>223</v>
      </c>
      <c r="B33" s="27" t="s">
        <v>247</v>
      </c>
      <c r="C33" s="27" t="s">
        <v>248</v>
      </c>
      <c r="D33" s="27" t="n">
        <v>1</v>
      </c>
      <c r="E33" s="27" t="s">
        <v>230</v>
      </c>
      <c r="F33" s="27"/>
      <c r="G33" s="27"/>
      <c r="H33" s="33"/>
      <c r="I33" s="33" t="n">
        <f aca="false">IFERROR(H33*D33,"")</f>
        <v>0</v>
      </c>
      <c r="J33" s="27" t="s">
        <v>234</v>
      </c>
      <c r="K33" s="27" t="s">
        <v>47</v>
      </c>
      <c r="L33" s="27" t="s">
        <v>249</v>
      </c>
    </row>
    <row r="34" customFormat="false" ht="30" hidden="false" customHeight="true" outlineLevel="0" collapsed="false">
      <c r="A34" s="27" t="s">
        <v>250</v>
      </c>
      <c r="B34" s="27" t="s">
        <v>251</v>
      </c>
      <c r="C34" s="27" t="s">
        <v>252</v>
      </c>
      <c r="D34" s="27" t="n">
        <v>1</v>
      </c>
      <c r="E34" s="27" t="s">
        <v>230</v>
      </c>
      <c r="F34" s="27"/>
      <c r="G34" s="27"/>
      <c r="H34" s="33"/>
      <c r="I34" s="33" t="n">
        <f aca="false">IFERROR(H34*D34,"")</f>
        <v>0</v>
      </c>
      <c r="J34" s="27" t="s">
        <v>234</v>
      </c>
      <c r="K34" s="27" t="s">
        <v>47</v>
      </c>
      <c r="L34" s="27" t="s">
        <v>253</v>
      </c>
    </row>
    <row r="36" customFormat="false" ht="15" hidden="false" customHeight="false" outlineLevel="0" collapsed="false">
      <c r="A36" s="34" t="s">
        <v>254</v>
      </c>
      <c r="B36" s="34"/>
      <c r="C36" s="34"/>
      <c r="D36" s="34"/>
      <c r="E36" s="34"/>
      <c r="F36" s="34"/>
      <c r="G36" s="34"/>
      <c r="H36" s="34" t="s">
        <v>255</v>
      </c>
      <c r="I36" s="35" t="n">
        <f aca="false">SUM(I8:I34)</f>
        <v>0</v>
      </c>
    </row>
  </sheetData>
  <mergeCells count="5">
    <mergeCell ref="A1:N1"/>
    <mergeCell ref="A2:N2"/>
    <mergeCell ref="A3:N3"/>
    <mergeCell ref="A5:N5"/>
    <mergeCell ref="A36:G36"/>
  </mergeCells>
  <conditionalFormatting sqref="K8:K34">
    <cfRule type="expression" priority="2" aboveAverage="0" equalAverage="0" bottom="0" percent="0" rank="0" text="" dxfId="3">
      <formula>K8="Received"</formula>
    </cfRule>
    <cfRule type="expression" priority="3" aboveAverage="0" equalAverage="0" bottom="0" percent="0" rank="0" text="" dxfId="4">
      <formula>K8="Ordered"</formula>
    </cfRule>
    <cfRule type="expression" priority="4" aboveAverage="0" equalAverage="0" bottom="0" percent="0" rank="0" text="" dxfId="5">
      <formula>K8="To Buy"</formula>
    </cfRule>
    <cfRule type="expression" priority="5" aboveAverage="0" equalAverage="0" bottom="0" percent="0" rank="0" text="" dxfId="8">
      <formula>K8="To Get"</formula>
    </cfRule>
  </conditionalFormatting>
  <conditionalFormatting sqref="E8:E35">
    <cfRule type="expression" priority="6" aboveAverage="0" equalAverage="0" bottom="0" percent="0" rank="0" text="" dxfId="0">
      <formula>E8="Yes"</formula>
    </cfRule>
    <cfRule type="expression" priority="7" aboveAverage="0" equalAverage="0" bottom="0" percent="0" rank="0" text="" dxfId="9">
      <formula>E8="No"</formula>
    </cfRule>
  </conditionalFormatting>
  <conditionalFormatting sqref="J8:J35">
    <cfRule type="expression" priority="8" aboveAverage="0" equalAverage="0" bottom="0" percent="0" rank="0" text="" dxfId="9">
      <formula>J8="High"</formula>
    </cfRule>
    <cfRule type="expression" priority="9" aboveAverage="0" equalAverage="0" bottom="0" percent="0" rank="0" text="" dxfId="7">
      <formula>J8="Med"</formula>
    </cfRule>
    <cfRule type="expression" priority="10" aboveAverage="0" equalAverage="0" bottom="0" percent="0" rank="0" text="" dxfId="0">
      <formula>J8="Low"</formula>
    </cfRule>
  </conditionalFormatting>
  <conditionalFormatting sqref="K8:K35">
    <cfRule type="expression" priority="11" aboveAverage="0" equalAverage="0" bottom="0" percent="0" rank="0" text="" dxfId="10">
      <formula>K8="To Get"</formula>
    </cfRule>
    <cfRule type="expression" priority="12" aboveAverage="0" equalAverage="0" bottom="0" percent="0" rank="0" text="" dxfId="11">
      <formula>K8="To Buy"</formula>
    </cfRule>
    <cfRule type="expression" priority="13" aboveAverage="0" equalAverage="0" bottom="0" percent="0" rank="0" text="" dxfId="12">
      <formula>K8="Ordered"</formula>
    </cfRule>
    <cfRule type="expression" priority="14" aboveAverage="0" equalAverage="0" bottom="0" percent="0" rank="0" text="" dxfId="0">
      <formula>K8="Received"</formula>
    </cfRule>
    <cfRule type="expression" priority="15" aboveAverage="0" equalAverage="0" bottom="0" percent="0" rank="0" text="" dxfId="12">
      <formula>K8="Optional"</formula>
    </cfRule>
  </conditionalFormatting>
  <dataValidations count="3">
    <dataValidation allowBlank="true" errorStyle="stop" operator="between" showDropDown="true" showErrorMessage="false" showInputMessage="false" sqref="E8:E35" type="list">
      <formula1>"Yes,No"</formula1>
      <formula2>0</formula2>
    </dataValidation>
    <dataValidation allowBlank="true" errorStyle="stop" operator="between" showDropDown="true" showErrorMessage="false" showInputMessage="false" sqref="J8:J35" type="list">
      <formula1>"High,Med,Low"</formula1>
      <formula2>0</formula2>
    </dataValidation>
    <dataValidation allowBlank="true" errorStyle="stop" operator="between" showDropDown="true" showErrorMessage="false" showInputMessage="false" sqref="K8:K35" type="list">
      <formula1>"To Get,To Buy,Ordered,Received,Optional"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M23" activeCellId="0" sqref="M23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58"/>
    <col collapsed="false" customWidth="true" hidden="false" outlineLevel="0" max="4" min="4" style="1" width="28"/>
    <col collapsed="false" customWidth="true" hidden="false" outlineLevel="0" max="12" min="5" style="1" width="16"/>
    <col collapsed="false" customWidth="true" hidden="false" outlineLevel="0" max="13" min="13" style="1" width="14"/>
    <col collapsed="false" customWidth="true" hidden="false" outlineLevel="0" max="14" min="14" style="1" width="10"/>
    <col collapsed="false" customWidth="true" hidden="false" outlineLevel="0" max="15" min="15" style="1" width="28"/>
    <col collapsed="false" customWidth="true" hidden="false" outlineLevel="0" max="16" min="16" style="1" width="12"/>
  </cols>
  <sheetData>
    <row r="1" customFormat="false" ht="23.25" hidden="false" customHeight="true" outlineLevel="0" collapsed="false">
      <c r="A1" s="2" t="s">
        <v>256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false" outlineLevel="0" collapsed="false">
      <c r="A2" s="3" t="s">
        <v>257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5" hidden="false" customHeight="false" outlineLevel="0" collapsed="false">
      <c r="A3" s="4" t="s">
        <v>258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customFormat="false" ht="15" hidden="false" customHeight="true" outlineLevel="0" collapsed="false">
      <c r="A5" s="21" t="s">
        <v>259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</row>
    <row r="6" customFormat="false" ht="15" hidden="false" customHeight="false" outlineLevel="0" collapsed="false">
      <c r="M6" s="6" t="s">
        <v>260</v>
      </c>
      <c r="N6" s="36" t="n">
        <f aca="false">IFERROR((COUNTIF($M$10:$M$43,"Done")+0.5*COUNTIF($M$10:$M$43,"In Progress"))/COUNTIF($M$10:$M$43,"&lt;&gt;"),0)</f>
        <v>0.958333333333333</v>
      </c>
    </row>
    <row r="7" customFormat="false" ht="21.75" hidden="false" customHeight="true" outlineLevel="0" collapsed="false">
      <c r="A7" s="37" t="s">
        <v>261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</row>
    <row r="9" customFormat="false" ht="15" hidden="false" customHeight="false" outlineLevel="0" collapsed="false">
      <c r="B9" s="37" t="s">
        <v>262</v>
      </c>
      <c r="C9" s="37" t="s">
        <v>263</v>
      </c>
      <c r="D9" s="37"/>
      <c r="E9" s="37"/>
      <c r="F9" s="37"/>
      <c r="G9" s="37"/>
      <c r="H9" s="37"/>
      <c r="I9" s="37"/>
      <c r="J9" s="37"/>
      <c r="K9" s="37"/>
      <c r="L9" s="37"/>
      <c r="M9" s="37" t="s">
        <v>16</v>
      </c>
      <c r="O9" s="6" t="s">
        <v>264</v>
      </c>
      <c r="P9" s="6" t="s">
        <v>265</v>
      </c>
    </row>
    <row r="10" customFormat="false" ht="27.75" hidden="false" customHeight="true" outlineLevel="0" collapsed="false">
      <c r="B10" s="38" t="s">
        <v>266</v>
      </c>
      <c r="C10" s="38" t="s">
        <v>267</v>
      </c>
      <c r="D10" s="38"/>
      <c r="E10" s="38"/>
      <c r="F10" s="38"/>
      <c r="G10" s="38"/>
      <c r="H10" s="38"/>
      <c r="I10" s="38"/>
      <c r="J10" s="38"/>
      <c r="K10" s="38"/>
      <c r="L10" s="38"/>
      <c r="M10" s="39" t="s">
        <v>11</v>
      </c>
      <c r="O10" s="1" t="s">
        <v>266</v>
      </c>
      <c r="P10" s="14" t="n">
        <f aca="false">IF($M10="Done",1,IF($M10="In Progress",0.5,0))</f>
        <v>1</v>
      </c>
    </row>
    <row r="11" customFormat="false" ht="27.75" hidden="false" customHeight="true" outlineLevel="0" collapsed="false">
      <c r="B11" s="38" t="s">
        <v>268</v>
      </c>
      <c r="C11" s="38" t="s">
        <v>269</v>
      </c>
      <c r="D11" s="38"/>
      <c r="E11" s="38"/>
      <c r="F11" s="38"/>
      <c r="G11" s="38"/>
      <c r="H11" s="38"/>
      <c r="I11" s="38"/>
      <c r="J11" s="38"/>
      <c r="K11" s="38"/>
      <c r="L11" s="38"/>
      <c r="M11" s="39" t="s">
        <v>11</v>
      </c>
      <c r="O11" s="1" t="s">
        <v>268</v>
      </c>
      <c r="P11" s="14" t="n">
        <f aca="false">IF($M11="Done",1,IF($M11="In Progress",0.5,0))</f>
        <v>1</v>
      </c>
    </row>
    <row r="12" customFormat="false" ht="27.75" hidden="false" customHeight="true" outlineLevel="0" collapsed="false">
      <c r="B12" s="38" t="s">
        <v>270</v>
      </c>
      <c r="C12" s="38" t="s">
        <v>271</v>
      </c>
      <c r="D12" s="38"/>
      <c r="E12" s="38"/>
      <c r="F12" s="38"/>
      <c r="G12" s="38"/>
      <c r="H12" s="38"/>
      <c r="I12" s="38"/>
      <c r="J12" s="38"/>
      <c r="K12" s="38"/>
      <c r="L12" s="38"/>
      <c r="M12" s="39" t="s">
        <v>11</v>
      </c>
      <c r="O12" s="1" t="s">
        <v>270</v>
      </c>
      <c r="P12" s="14" t="n">
        <f aca="false">IF($M12="Done",1,IF($M12="In Progress",0.5,0))</f>
        <v>1</v>
      </c>
    </row>
    <row r="13" customFormat="false" ht="27.75" hidden="false" customHeight="true" outlineLevel="0" collapsed="false">
      <c r="B13" s="38" t="s">
        <v>272</v>
      </c>
      <c r="C13" s="38" t="s">
        <v>273</v>
      </c>
      <c r="D13" s="38"/>
      <c r="E13" s="38"/>
      <c r="F13" s="38"/>
      <c r="G13" s="38"/>
      <c r="H13" s="38"/>
      <c r="I13" s="38"/>
      <c r="J13" s="38"/>
      <c r="K13" s="38"/>
      <c r="L13" s="38"/>
      <c r="M13" s="39" t="s">
        <v>11</v>
      </c>
      <c r="O13" s="1" t="s">
        <v>272</v>
      </c>
      <c r="P13" s="14" t="n">
        <f aca="false">IF($M13="Done",1,IF($M13="In Progress",0.5,0))</f>
        <v>1</v>
      </c>
    </row>
    <row r="14" customFormat="false" ht="27.75" hidden="false" customHeight="true" outlineLevel="0" collapsed="false">
      <c r="B14" s="38" t="s">
        <v>274</v>
      </c>
      <c r="C14" s="38" t="s">
        <v>275</v>
      </c>
      <c r="D14" s="38"/>
      <c r="E14" s="38"/>
      <c r="F14" s="38"/>
      <c r="G14" s="38"/>
      <c r="H14" s="38"/>
      <c r="I14" s="38"/>
      <c r="J14" s="38"/>
      <c r="K14" s="38"/>
      <c r="L14" s="38"/>
      <c r="M14" s="39" t="s">
        <v>11</v>
      </c>
      <c r="O14" s="1" t="s">
        <v>274</v>
      </c>
      <c r="P14" s="14" t="n">
        <f aca="false">IF($M14="Done",1,IF($M14="In Progress",0.5,0))</f>
        <v>1</v>
      </c>
    </row>
    <row r="15" customFormat="false" ht="27.75" hidden="false" customHeight="true" outlineLevel="0" collapsed="false">
      <c r="B15" s="38" t="s">
        <v>276</v>
      </c>
      <c r="C15" s="38" t="s">
        <v>277</v>
      </c>
      <c r="D15" s="38"/>
      <c r="E15" s="38"/>
      <c r="F15" s="38"/>
      <c r="G15" s="38"/>
      <c r="H15" s="38"/>
      <c r="I15" s="38"/>
      <c r="J15" s="38"/>
      <c r="K15" s="38"/>
      <c r="L15" s="38"/>
      <c r="M15" s="39" t="s">
        <v>11</v>
      </c>
      <c r="O15" s="1" t="s">
        <v>276</v>
      </c>
      <c r="P15" s="14" t="n">
        <f aca="false">IF($M15="Done",1,IF($M15="In Progress",0.5,0))</f>
        <v>1</v>
      </c>
    </row>
    <row r="16" customFormat="false" ht="27.75" hidden="false" customHeight="true" outlineLevel="0" collapsed="false">
      <c r="B16" s="38" t="s">
        <v>278</v>
      </c>
      <c r="C16" s="38" t="s">
        <v>279</v>
      </c>
      <c r="D16" s="38"/>
      <c r="E16" s="38"/>
      <c r="F16" s="38"/>
      <c r="G16" s="38"/>
      <c r="H16" s="38"/>
      <c r="I16" s="38"/>
      <c r="J16" s="38"/>
      <c r="K16" s="38"/>
      <c r="L16" s="38"/>
      <c r="M16" s="39" t="s">
        <v>11</v>
      </c>
      <c r="O16" s="1" t="s">
        <v>278</v>
      </c>
      <c r="P16" s="14" t="n">
        <f aca="false">IF($M16="Done",1,IF($M16="In Progress",0.5,0))</f>
        <v>1</v>
      </c>
    </row>
    <row r="17" customFormat="false" ht="27.75" hidden="false" customHeight="true" outlineLevel="0" collapsed="false">
      <c r="B17" s="38" t="s">
        <v>280</v>
      </c>
      <c r="C17" s="38" t="s">
        <v>281</v>
      </c>
      <c r="D17" s="38"/>
      <c r="E17" s="38"/>
      <c r="F17" s="38"/>
      <c r="G17" s="38"/>
      <c r="H17" s="38"/>
      <c r="I17" s="38"/>
      <c r="J17" s="38"/>
      <c r="K17" s="38"/>
      <c r="L17" s="38"/>
      <c r="M17" s="39" t="s">
        <v>11</v>
      </c>
      <c r="O17" s="1" t="s">
        <v>280</v>
      </c>
      <c r="P17" s="14" t="n">
        <f aca="false">IF($M17="Done",1,IF($M17="In Progress",0.5,0))</f>
        <v>1</v>
      </c>
    </row>
    <row r="20" customFormat="false" ht="21.75" hidden="false" customHeight="true" outlineLevel="0" collapsed="false">
      <c r="A20" s="37" t="s">
        <v>282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2" customFormat="false" ht="19.5" hidden="false" customHeight="true" outlineLevel="0" collapsed="false">
      <c r="B22" s="40" t="s">
        <v>283</v>
      </c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 t="s">
        <v>16</v>
      </c>
      <c r="O22" s="6" t="s">
        <v>284</v>
      </c>
      <c r="P22" s="6" t="s">
        <v>18</v>
      </c>
    </row>
    <row r="23" customFormat="false" ht="21.75" hidden="false" customHeight="true" outlineLevel="0" collapsed="false">
      <c r="B23" s="41" t="s">
        <v>285</v>
      </c>
      <c r="C23" s="38" t="s">
        <v>286</v>
      </c>
      <c r="D23" s="38"/>
      <c r="E23" s="38"/>
      <c r="F23" s="38"/>
      <c r="G23" s="38"/>
      <c r="H23" s="38"/>
      <c r="I23" s="38"/>
      <c r="J23" s="38"/>
      <c r="K23" s="38"/>
      <c r="L23" s="38"/>
      <c r="M23" s="39" t="s">
        <v>11</v>
      </c>
      <c r="O23" s="1" t="s">
        <v>283</v>
      </c>
      <c r="P23" s="14" t="n">
        <f aca="false">IFERROR((COUNTIF($M$23:$M$27,"Done")+0.5*COUNTIF($M$23:$M$27,"In Progress"))/COUNTIF($M$23:$M$27,"&lt;&gt;"),0)</f>
        <v>1</v>
      </c>
    </row>
    <row r="24" customFormat="false" ht="21.75" hidden="false" customHeight="true" outlineLevel="0" collapsed="false">
      <c r="B24" s="41" t="s">
        <v>285</v>
      </c>
      <c r="C24" s="38" t="s">
        <v>287</v>
      </c>
      <c r="D24" s="38"/>
      <c r="E24" s="38"/>
      <c r="F24" s="38"/>
      <c r="G24" s="38"/>
      <c r="H24" s="38"/>
      <c r="I24" s="38"/>
      <c r="J24" s="38"/>
      <c r="K24" s="38"/>
      <c r="L24" s="38"/>
      <c r="M24" s="39" t="s">
        <v>11</v>
      </c>
      <c r="O24" s="1" t="s">
        <v>288</v>
      </c>
      <c r="P24" s="14" t="n">
        <f aca="false">IFERROR((COUNTIF($M$30:$M$33,"Done")+0.5*COUNTIF($M$30:$M$33,"In Progress"))/COUNTIF($M$30:$M$33,"&lt;&gt;"),0)</f>
        <v>1</v>
      </c>
    </row>
    <row r="25" customFormat="false" ht="21.75" hidden="false" customHeight="true" outlineLevel="0" collapsed="false">
      <c r="B25" s="41" t="s">
        <v>285</v>
      </c>
      <c r="C25" s="38" t="s">
        <v>289</v>
      </c>
      <c r="D25" s="38"/>
      <c r="E25" s="38"/>
      <c r="F25" s="38"/>
      <c r="G25" s="38"/>
      <c r="H25" s="38"/>
      <c r="I25" s="38"/>
      <c r="J25" s="38"/>
      <c r="K25" s="38"/>
      <c r="L25" s="38"/>
      <c r="M25" s="39" t="s">
        <v>11</v>
      </c>
      <c r="O25" s="1" t="s">
        <v>290</v>
      </c>
      <c r="P25" s="14" t="n">
        <f aca="false">IFERROR((COUNTIF($M$36:$M$37,"Done")+0.5*COUNTIF($M$36:$M$37,"In Progress"))/COUNTIF($M$36:$M$37,"&lt;&gt;"),0)</f>
        <v>1</v>
      </c>
    </row>
    <row r="26" customFormat="false" ht="21.75" hidden="false" customHeight="true" outlineLevel="0" collapsed="false">
      <c r="B26" s="41" t="s">
        <v>285</v>
      </c>
      <c r="C26" s="38" t="s">
        <v>291</v>
      </c>
      <c r="D26" s="38"/>
      <c r="E26" s="38"/>
      <c r="F26" s="38"/>
      <c r="G26" s="38"/>
      <c r="H26" s="38"/>
      <c r="I26" s="38"/>
      <c r="J26" s="38"/>
      <c r="K26" s="38"/>
      <c r="L26" s="38"/>
      <c r="M26" s="39" t="s">
        <v>11</v>
      </c>
      <c r="O26" s="1" t="s">
        <v>292</v>
      </c>
      <c r="P26" s="14" t="n">
        <f aca="false">IFERROR((COUNTIF($M$40:$M$43,"Done")+0.5*COUNTIF($M$40:$M$43,"In Progress"))/COUNTIF($M$40:$M$43,"&lt;&gt;"),0)</f>
        <v>1</v>
      </c>
    </row>
    <row r="27" customFormat="false" ht="21.75" hidden="false" customHeight="true" outlineLevel="0" collapsed="false">
      <c r="B27" s="41" t="s">
        <v>285</v>
      </c>
      <c r="C27" s="38" t="s">
        <v>293</v>
      </c>
      <c r="D27" s="38"/>
      <c r="E27" s="38"/>
      <c r="F27" s="38"/>
      <c r="G27" s="38"/>
      <c r="H27" s="38"/>
      <c r="I27" s="38"/>
      <c r="J27" s="38"/>
      <c r="K27" s="38"/>
      <c r="L27" s="38"/>
      <c r="M27" s="39" t="s">
        <v>11</v>
      </c>
    </row>
    <row r="29" customFormat="false" ht="19.5" hidden="false" customHeight="true" outlineLevel="0" collapsed="false">
      <c r="B29" s="40" t="s">
        <v>288</v>
      </c>
      <c r="C29" s="40"/>
      <c r="D29" s="40"/>
      <c r="E29" s="40"/>
      <c r="F29" s="40"/>
      <c r="G29" s="40"/>
      <c r="H29" s="40"/>
      <c r="I29" s="40"/>
      <c r="J29" s="40"/>
      <c r="K29" s="40"/>
      <c r="L29" s="40"/>
    </row>
    <row r="30" customFormat="false" ht="21.75" hidden="false" customHeight="true" outlineLevel="0" collapsed="false">
      <c r="B30" s="41" t="s">
        <v>285</v>
      </c>
      <c r="C30" s="38" t="s">
        <v>294</v>
      </c>
      <c r="D30" s="38"/>
      <c r="E30" s="38"/>
      <c r="F30" s="38"/>
      <c r="G30" s="38"/>
      <c r="H30" s="38"/>
      <c r="I30" s="38"/>
      <c r="J30" s="38"/>
      <c r="K30" s="38"/>
      <c r="L30" s="38"/>
      <c r="M30" s="39" t="s">
        <v>11</v>
      </c>
    </row>
    <row r="31" customFormat="false" ht="21.75" hidden="false" customHeight="true" outlineLevel="0" collapsed="false">
      <c r="B31" s="41" t="s">
        <v>285</v>
      </c>
      <c r="C31" s="38" t="s">
        <v>295</v>
      </c>
      <c r="D31" s="38"/>
      <c r="E31" s="38"/>
      <c r="F31" s="38"/>
      <c r="G31" s="38"/>
      <c r="H31" s="38"/>
      <c r="I31" s="38"/>
      <c r="J31" s="38"/>
      <c r="K31" s="38"/>
      <c r="L31" s="38"/>
      <c r="M31" s="39" t="s">
        <v>11</v>
      </c>
    </row>
    <row r="32" customFormat="false" ht="21.75" hidden="false" customHeight="true" outlineLevel="0" collapsed="false">
      <c r="B32" s="41" t="s">
        <v>285</v>
      </c>
      <c r="C32" s="38" t="s">
        <v>296</v>
      </c>
      <c r="D32" s="38"/>
      <c r="E32" s="38"/>
      <c r="F32" s="38"/>
      <c r="G32" s="38"/>
      <c r="H32" s="38"/>
      <c r="I32" s="38"/>
      <c r="J32" s="38"/>
      <c r="K32" s="38"/>
      <c r="L32" s="38"/>
      <c r="M32" s="39" t="s">
        <v>11</v>
      </c>
    </row>
    <row r="33" customFormat="false" ht="21.75" hidden="false" customHeight="true" outlineLevel="0" collapsed="false">
      <c r="B33" s="41" t="s">
        <v>285</v>
      </c>
      <c r="C33" s="38" t="s">
        <v>297</v>
      </c>
      <c r="D33" s="38"/>
      <c r="E33" s="38"/>
      <c r="F33" s="38"/>
      <c r="G33" s="38"/>
      <c r="H33" s="38"/>
      <c r="I33" s="38"/>
      <c r="J33" s="38"/>
      <c r="K33" s="38"/>
      <c r="L33" s="38"/>
      <c r="M33" s="39" t="s">
        <v>11</v>
      </c>
    </row>
    <row r="35" customFormat="false" ht="19.5" hidden="false" customHeight="true" outlineLevel="0" collapsed="false">
      <c r="B35" s="40" t="s">
        <v>290</v>
      </c>
      <c r="C35" s="40"/>
      <c r="D35" s="40"/>
      <c r="E35" s="40"/>
      <c r="F35" s="40"/>
      <c r="G35" s="40"/>
      <c r="H35" s="40"/>
      <c r="I35" s="40"/>
      <c r="J35" s="40"/>
      <c r="K35" s="40"/>
      <c r="L35" s="40"/>
    </row>
    <row r="36" customFormat="false" ht="21.75" hidden="false" customHeight="true" outlineLevel="0" collapsed="false">
      <c r="B36" s="41" t="s">
        <v>285</v>
      </c>
      <c r="C36" s="38" t="s">
        <v>298</v>
      </c>
      <c r="D36" s="38"/>
      <c r="E36" s="38"/>
      <c r="F36" s="38"/>
      <c r="G36" s="38"/>
      <c r="H36" s="38"/>
      <c r="I36" s="38"/>
      <c r="J36" s="38"/>
      <c r="K36" s="38"/>
      <c r="L36" s="38"/>
      <c r="M36" s="39" t="s">
        <v>11</v>
      </c>
    </row>
    <row r="37" customFormat="false" ht="21.75" hidden="false" customHeight="true" outlineLevel="0" collapsed="false">
      <c r="B37" s="41" t="s">
        <v>285</v>
      </c>
      <c r="C37" s="38" t="s">
        <v>299</v>
      </c>
      <c r="D37" s="38"/>
      <c r="E37" s="38"/>
      <c r="F37" s="38"/>
      <c r="G37" s="38"/>
      <c r="H37" s="38"/>
      <c r="I37" s="38"/>
      <c r="J37" s="38"/>
      <c r="K37" s="38"/>
      <c r="L37" s="38"/>
      <c r="M37" s="39" t="s">
        <v>11</v>
      </c>
    </row>
    <row r="39" customFormat="false" ht="19.5" hidden="false" customHeight="true" outlineLevel="0" collapsed="false">
      <c r="B39" s="40" t="s">
        <v>292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</row>
    <row r="40" customFormat="false" ht="21.75" hidden="false" customHeight="true" outlineLevel="0" collapsed="false">
      <c r="B40" s="41" t="s">
        <v>285</v>
      </c>
      <c r="C40" s="38" t="s">
        <v>300</v>
      </c>
      <c r="D40" s="38"/>
      <c r="E40" s="38"/>
      <c r="F40" s="38"/>
      <c r="G40" s="38"/>
      <c r="H40" s="38"/>
      <c r="I40" s="38"/>
      <c r="J40" s="38"/>
      <c r="K40" s="38"/>
      <c r="L40" s="38"/>
      <c r="M40" s="39" t="s">
        <v>11</v>
      </c>
    </row>
    <row r="41" customFormat="false" ht="21.75" hidden="false" customHeight="true" outlineLevel="0" collapsed="false">
      <c r="B41" s="41" t="s">
        <v>285</v>
      </c>
      <c r="C41" s="38" t="s">
        <v>301</v>
      </c>
      <c r="D41" s="38"/>
      <c r="E41" s="38"/>
      <c r="F41" s="38"/>
      <c r="G41" s="38"/>
      <c r="H41" s="38"/>
      <c r="I41" s="38"/>
      <c r="J41" s="38"/>
      <c r="K41" s="38"/>
      <c r="L41" s="38"/>
      <c r="M41" s="39" t="s">
        <v>11</v>
      </c>
    </row>
    <row r="42" customFormat="false" ht="21.75" hidden="false" customHeight="true" outlineLevel="0" collapsed="false">
      <c r="B42" s="41" t="s">
        <v>285</v>
      </c>
      <c r="C42" s="38" t="s">
        <v>302</v>
      </c>
      <c r="D42" s="38"/>
      <c r="E42" s="38"/>
      <c r="F42" s="38"/>
      <c r="G42" s="38"/>
      <c r="H42" s="38"/>
      <c r="I42" s="38"/>
      <c r="J42" s="38"/>
      <c r="K42" s="38"/>
      <c r="L42" s="38"/>
      <c r="M42" s="39" t="s">
        <v>11</v>
      </c>
    </row>
    <row r="43" customFormat="false" ht="21.75" hidden="false" customHeight="true" outlineLevel="0" collapsed="false">
      <c r="B43" s="41" t="s">
        <v>285</v>
      </c>
      <c r="C43" s="38" t="s">
        <v>303</v>
      </c>
      <c r="D43" s="38"/>
      <c r="E43" s="38"/>
      <c r="F43" s="38"/>
      <c r="G43" s="38"/>
      <c r="H43" s="38"/>
      <c r="I43" s="38"/>
      <c r="J43" s="38"/>
      <c r="K43" s="38"/>
      <c r="L43" s="38"/>
      <c r="M43" s="39" t="s">
        <v>11</v>
      </c>
    </row>
    <row r="45" customFormat="false" ht="21.75" hidden="false" customHeight="true" outlineLevel="0" collapsed="false">
      <c r="A45" s="37" t="s">
        <v>304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</row>
    <row r="46" customFormat="false" ht="33.75" hidden="false" customHeight="true" outlineLevel="0" collapsed="false">
      <c r="A46" s="42" t="s">
        <v>305</v>
      </c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</sheetData>
  <mergeCells count="36">
    <mergeCell ref="A1:L1"/>
    <mergeCell ref="A2:L2"/>
    <mergeCell ref="A3:L3"/>
    <mergeCell ref="A5:L5"/>
    <mergeCell ref="A7:L7"/>
    <mergeCell ref="C9:L9"/>
    <mergeCell ref="C10:L10"/>
    <mergeCell ref="C11:L11"/>
    <mergeCell ref="C12:L12"/>
    <mergeCell ref="C13:L13"/>
    <mergeCell ref="C14:L14"/>
    <mergeCell ref="C15:L15"/>
    <mergeCell ref="C16:L16"/>
    <mergeCell ref="C17:L17"/>
    <mergeCell ref="A20:L20"/>
    <mergeCell ref="B22:L22"/>
    <mergeCell ref="C23:L23"/>
    <mergeCell ref="C24:L24"/>
    <mergeCell ref="C25:L25"/>
    <mergeCell ref="C26:L26"/>
    <mergeCell ref="C27:L27"/>
    <mergeCell ref="B29:L29"/>
    <mergeCell ref="C30:L30"/>
    <mergeCell ref="C31:L31"/>
    <mergeCell ref="C32:L32"/>
    <mergeCell ref="C33:L33"/>
    <mergeCell ref="B35:L35"/>
    <mergeCell ref="C36:L36"/>
    <mergeCell ref="C37:L37"/>
    <mergeCell ref="B39:L39"/>
    <mergeCell ref="C40:L40"/>
    <mergeCell ref="C41:L41"/>
    <mergeCell ref="C42:L42"/>
    <mergeCell ref="C43:L43"/>
    <mergeCell ref="A45:L45"/>
    <mergeCell ref="A46:L46"/>
  </mergeCells>
  <conditionalFormatting sqref="M10:M17">
    <cfRule type="expression" priority="2" aboveAverage="0" equalAverage="0" bottom="0" percent="0" rank="0" text="" dxfId="0">
      <formula>M10="Done"</formula>
    </cfRule>
    <cfRule type="expression" priority="3" aboveAverage="0" equalAverage="0" bottom="0" percent="0" rank="0" text="" dxfId="1">
      <formula>M10="In Progress"</formula>
    </cfRule>
    <cfRule type="expression" priority="4" aboveAverage="0" equalAverage="0" bottom="0" percent="0" rank="0" text="" dxfId="2">
      <formula>M10="Not Started"</formula>
    </cfRule>
    <cfRule type="expression" priority="5" aboveAverage="0" equalAverage="0" bottom="0" percent="0" rank="0" text="" dxfId="7">
      <formula>M10="Blocked"</formula>
    </cfRule>
  </conditionalFormatting>
  <conditionalFormatting sqref="M23:M27">
    <cfRule type="expression" priority="6" aboveAverage="0" equalAverage="0" bottom="0" percent="0" rank="0" text="" dxfId="0">
      <formula>M23="Done"</formula>
    </cfRule>
    <cfRule type="expression" priority="7" aboveAverage="0" equalAverage="0" bottom="0" percent="0" rank="0" text="" dxfId="1">
      <formula>M23="In Progress"</formula>
    </cfRule>
    <cfRule type="expression" priority="8" aboveAverage="0" equalAverage="0" bottom="0" percent="0" rank="0" text="" dxfId="2">
      <formula>M23="Not Started"</formula>
    </cfRule>
    <cfRule type="expression" priority="9" aboveAverage="0" equalAverage="0" bottom="0" percent="0" rank="0" text="" dxfId="7">
      <formula>M23="Blocked"</formula>
    </cfRule>
  </conditionalFormatting>
  <conditionalFormatting sqref="M30:M33">
    <cfRule type="expression" priority="10" aboveAverage="0" equalAverage="0" bottom="0" percent="0" rank="0" text="" dxfId="0">
      <formula>M30="Done"</formula>
    </cfRule>
    <cfRule type="expression" priority="11" aboveAverage="0" equalAverage="0" bottom="0" percent="0" rank="0" text="" dxfId="1">
      <formula>M30="In Progress"</formula>
    </cfRule>
    <cfRule type="expression" priority="12" aboveAverage="0" equalAverage="0" bottom="0" percent="0" rank="0" text="" dxfId="2">
      <formula>M30="Not Started"</formula>
    </cfRule>
    <cfRule type="expression" priority="13" aboveAverage="0" equalAverage="0" bottom="0" percent="0" rank="0" text="" dxfId="7">
      <formula>M30="Blocked"</formula>
    </cfRule>
  </conditionalFormatting>
  <conditionalFormatting sqref="M36:M37">
    <cfRule type="expression" priority="14" aboveAverage="0" equalAverage="0" bottom="0" percent="0" rank="0" text="" dxfId="0">
      <formula>M36="Done"</formula>
    </cfRule>
    <cfRule type="expression" priority="15" aboveAverage="0" equalAverage="0" bottom="0" percent="0" rank="0" text="" dxfId="1">
      <formula>M36="In Progress"</formula>
    </cfRule>
    <cfRule type="expression" priority="16" aboveAverage="0" equalAverage="0" bottom="0" percent="0" rank="0" text="" dxfId="2">
      <formula>M36="Not Started"</formula>
    </cfRule>
    <cfRule type="expression" priority="17" aboveAverage="0" equalAverage="0" bottom="0" percent="0" rank="0" text="" dxfId="7">
      <formula>M36="Blocked"</formula>
    </cfRule>
  </conditionalFormatting>
  <conditionalFormatting sqref="M40:M43">
    <cfRule type="expression" priority="18" aboveAverage="0" equalAverage="0" bottom="0" percent="0" rank="0" text="" dxfId="0">
      <formula>M40="Done"</formula>
    </cfRule>
    <cfRule type="expression" priority="19" aboveAverage="0" equalAverage="0" bottom="0" percent="0" rank="0" text="" dxfId="1">
      <formula>M40="In Progress"</formula>
    </cfRule>
    <cfRule type="expression" priority="20" aboveAverage="0" equalAverage="0" bottom="0" percent="0" rank="0" text="" dxfId="2">
      <formula>M40="Not Started"</formula>
    </cfRule>
    <cfRule type="expression" priority="21" aboveAverage="0" equalAverage="0" bottom="0" percent="0" rank="0" text="" dxfId="7">
      <formula>M40="Blocked"</formula>
    </cfRule>
  </conditionalFormatting>
  <conditionalFormatting sqref="N6">
    <cfRule type="dataBar" priority="22">
      <dataBar showValue="1" minLength="10" maxLength="90">
        <cfvo type="num" val="0"/>
        <cfvo type="num" val="1"/>
        <color rgb="FF845EF7"/>
      </dataBar>
      <extLst>
        <ext xmlns:x14="http://schemas.microsoft.com/office/spreadsheetml/2009/9/main" uri="{B025F937-C7B1-47D3-B67F-A62EFF666E3E}">
          <x14:id>{A9545180-C847-48DD-BE1C-367CA6543381}</x14:id>
        </ext>
      </extLst>
    </cfRule>
  </conditionalFormatting>
  <dataValidations count="1">
    <dataValidation allowBlank="true" errorStyle="stop" operator="between" showDropDown="true" showErrorMessage="false" showInputMessage="false" sqref="M10:M17 M23:M27 M30:M33 M36:M37 M40:M43" type="list">
      <formula1>"Not Started,In Progress,Done,Blocked"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545180-C847-48DD-BE1C-367CA654338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845EF7"/>
              <x14:axisColor rgb="FF000000"/>
            </x14:dataBar>
          </x14:cfRule>
          <xm:sqref>N6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7.71"/>
    <col collapsed="false" customWidth="true" hidden="false" outlineLevel="0" max="2" min="2" style="1" width="10.42"/>
    <col collapsed="false" customWidth="true" hidden="false" outlineLevel="0" max="3" min="3" style="1" width="23.57"/>
    <col collapsed="false" customWidth="true" hidden="false" outlineLevel="0" max="5" min="5" style="1" width="14.57"/>
    <col collapsed="false" customWidth="true" hidden="false" outlineLevel="0" max="6" min="6" style="1" width="16.29"/>
    <col collapsed="false" customWidth="true" hidden="false" outlineLevel="0" max="7" min="7" style="1" width="17.71"/>
    <col collapsed="false" customWidth="true" hidden="false" outlineLevel="0" max="8" min="8" style="1" width="22.57"/>
    <col collapsed="false" customWidth="true" hidden="false" outlineLevel="0" max="9" min="9" style="1" width="6.71"/>
    <col collapsed="false" customWidth="true" hidden="false" outlineLevel="0" max="11" min="11" style="1" width="43.14"/>
    <col collapsed="false" customWidth="true" hidden="false" outlineLevel="0" max="12" min="12" style="1" width="15.57"/>
    <col collapsed="false" customWidth="true" hidden="false" outlineLevel="0" max="14" min="14" style="1" width="25.71"/>
    <col collapsed="false" customWidth="true" hidden="false" outlineLevel="0" max="15" min="15" style="1" width="28.42"/>
  </cols>
  <sheetData>
    <row r="1" customFormat="false" ht="15" hidden="false" customHeight="false" outlineLevel="0" collapsed="false">
      <c r="D1" s="1"/>
      <c r="J1" s="1"/>
      <c r="M1" s="1"/>
    </row>
    <row r="2" customFormat="false" ht="15" hidden="false" customHeight="false" outlineLevel="0" collapsed="false">
      <c r="D2" s="1"/>
      <c r="J2" s="1"/>
      <c r="M2" s="1"/>
    </row>
    <row r="3" customFormat="false" ht="15" hidden="false" customHeight="false" outlineLevel="0" collapsed="false">
      <c r="A3" s="43" t="s">
        <v>306</v>
      </c>
      <c r="B3" s="43" t="s">
        <v>307</v>
      </c>
      <c r="C3" s="44" t="s">
        <v>308</v>
      </c>
      <c r="D3" s="45" t="s">
        <v>309</v>
      </c>
      <c r="E3" s="46" t="s">
        <v>310</v>
      </c>
      <c r="F3" s="46" t="s">
        <v>311</v>
      </c>
      <c r="G3" s="43" t="s">
        <v>312</v>
      </c>
      <c r="H3" s="43" t="s">
        <v>313</v>
      </c>
      <c r="I3" s="47" t="s">
        <v>314</v>
      </c>
      <c r="J3" s="48"/>
      <c r="K3" s="43" t="s">
        <v>315</v>
      </c>
      <c r="L3" s="43"/>
      <c r="M3" s="48"/>
      <c r="N3" s="43" t="s">
        <v>316</v>
      </c>
      <c r="O3" s="43" t="s">
        <v>317</v>
      </c>
    </row>
    <row r="4" customFormat="false" ht="15" hidden="false" customHeight="false" outlineLevel="0" collapsed="false">
      <c r="A4" s="49" t="n">
        <v>1</v>
      </c>
      <c r="B4" s="49" t="s">
        <v>318</v>
      </c>
      <c r="C4" s="50" t="n">
        <f aca="false">IF(RIGHT(TRIM(B4),2)="mV",VALUE(LEFT(TRIM(B4),LEN(TRIM(B4))-2))/1000,IF(RIGHT(TRIM(B4),1)="V",VALUE(LEFT(TRIM(B4),LEN(TRIM(B4))-1)),""))</f>
        <v>0.048</v>
      </c>
      <c r="D4" s="51" t="n">
        <f aca="false">ABS(C4-$F$4)</f>
        <v>0.8088</v>
      </c>
      <c r="E4" s="52" t="n">
        <f aca="false">INDEX($A$4:$A$19, MATCH(MIN($D$4:$D$19), $D$4:$D$19, 0))</f>
        <v>15</v>
      </c>
      <c r="F4" s="53" t="n">
        <f aca="false">0.7*MAX($C$4:$C$19)</f>
        <v>0.8568</v>
      </c>
      <c r="G4" s="50" t="n">
        <f aca="false">INDEX($C$4:$C$19, MATCH($E$4, $A$4:$A$19, 0))</f>
        <v>0.872</v>
      </c>
      <c r="H4" s="49" t="n">
        <f aca="false">G4-F4</f>
        <v>0.0152000000000001</v>
      </c>
      <c r="I4" s="54" t="n">
        <f aca="false">(G4-F4)/F4</f>
        <v>0.0177404295051355</v>
      </c>
      <c r="J4" s="1"/>
      <c r="K4" s="49" t="s">
        <v>319</v>
      </c>
      <c r="L4" s="49" t="s">
        <v>320</v>
      </c>
      <c r="M4" s="1"/>
      <c r="N4" s="49" t="n">
        <v>1</v>
      </c>
      <c r="O4" s="50" t="n">
        <f aca="false">$F$4</f>
        <v>0.8568</v>
      </c>
    </row>
    <row r="5" customFormat="false" ht="15" hidden="false" customHeight="false" outlineLevel="0" collapsed="false">
      <c r="A5" s="49" t="n">
        <v>2</v>
      </c>
      <c r="B5" s="49" t="s">
        <v>318</v>
      </c>
      <c r="C5" s="50" t="n">
        <f aca="false">IF(RIGHT(TRIM(B5),2)="mV",VALUE(LEFT(TRIM(B5),LEN(TRIM(B5))-2))/1000,IF(RIGHT(TRIM(B5),1)="V",VALUE(LEFT(TRIM(B5),LEN(TRIM(B5))-1)),""))</f>
        <v>0.048</v>
      </c>
      <c r="D5" s="51" t="n">
        <f aca="false">ABS(C5-$F$4)</f>
        <v>0.8088</v>
      </c>
      <c r="J5" s="1"/>
      <c r="K5" s="49" t="s">
        <v>321</v>
      </c>
      <c r="L5" s="49" t="n">
        <v>440</v>
      </c>
      <c r="M5" s="1"/>
      <c r="N5" s="49" t="n">
        <v>16</v>
      </c>
      <c r="O5" s="50" t="n">
        <f aca="false">$F$4</f>
        <v>0.8568</v>
      </c>
    </row>
    <row r="6" customFormat="false" ht="15" hidden="false" customHeight="false" outlineLevel="0" collapsed="false">
      <c r="A6" s="49" t="n">
        <v>3</v>
      </c>
      <c r="B6" s="49" t="s">
        <v>318</v>
      </c>
      <c r="C6" s="50" t="n">
        <f aca="false">IF(RIGHT(TRIM(B6),2)="mV",VALUE(LEFT(TRIM(B6),LEN(TRIM(B6))-2))/1000,IF(RIGHT(TRIM(B6),1)="V",VALUE(LEFT(TRIM(B6),LEN(TRIM(B6))-1)),""))</f>
        <v>0.048</v>
      </c>
      <c r="D6" s="51" t="n">
        <f aca="false">ABS(C6-$F$4)</f>
        <v>0.8088</v>
      </c>
      <c r="J6" s="1"/>
      <c r="K6" s="49" t="s">
        <v>322</v>
      </c>
      <c r="L6" s="49" t="s">
        <v>323</v>
      </c>
      <c r="M6" s="1"/>
      <c r="N6" s="55"/>
      <c r="O6" s="55"/>
    </row>
    <row r="7" customFormat="false" ht="15" hidden="false" customHeight="false" outlineLevel="0" collapsed="false">
      <c r="A7" s="49" t="n">
        <v>4</v>
      </c>
      <c r="B7" s="49" t="s">
        <v>318</v>
      </c>
      <c r="C7" s="50" t="n">
        <f aca="false">IF(RIGHT(TRIM(B7),2)="mV",VALUE(LEFT(TRIM(B7),LEN(TRIM(B7))-2))/1000,IF(RIGHT(TRIM(B7),1)="V",VALUE(LEFT(TRIM(B7),LEN(TRIM(B7))-1)),""))</f>
        <v>0.048</v>
      </c>
      <c r="D7" s="51" t="n">
        <f aca="false">ABS(C7-$F$4)</f>
        <v>0.8088</v>
      </c>
      <c r="J7" s="1"/>
      <c r="K7" s="49" t="s">
        <v>324</v>
      </c>
      <c r="L7" s="49" t="s">
        <v>325</v>
      </c>
      <c r="M7" s="1"/>
      <c r="N7" s="52" t="n">
        <f aca="false">$E$4</f>
        <v>15</v>
      </c>
      <c r="O7" s="56" t="n">
        <f aca="false">$G$4</f>
        <v>0.872</v>
      </c>
    </row>
    <row r="8" customFormat="false" ht="15" hidden="false" customHeight="false" outlineLevel="0" collapsed="false">
      <c r="A8" s="49" t="n">
        <v>5</v>
      </c>
      <c r="B8" s="49" t="s">
        <v>318</v>
      </c>
      <c r="C8" s="50" t="n">
        <f aca="false">IF(RIGHT(TRIM(B8),2)="mV",VALUE(LEFT(TRIM(B8),LEN(TRIM(B8))-2))/1000,IF(RIGHT(TRIM(B8),1)="V",VALUE(LEFT(TRIM(B8),LEN(TRIM(B8))-1)),""))</f>
        <v>0.048</v>
      </c>
      <c r="D8" s="51" t="n">
        <f aca="false">ABS(C8-$F$4)</f>
        <v>0.8088</v>
      </c>
      <c r="J8" s="1"/>
      <c r="K8" s="49" t="s">
        <v>326</v>
      </c>
      <c r="L8" s="50" t="n">
        <f aca="false">MAX($C$4:$C$19)</f>
        <v>1.224</v>
      </c>
      <c r="M8" s="1"/>
    </row>
    <row r="9" customFormat="false" ht="15" hidden="false" customHeight="false" outlineLevel="0" collapsed="false">
      <c r="A9" s="49" t="n">
        <v>6</v>
      </c>
      <c r="B9" s="49" t="s">
        <v>318</v>
      </c>
      <c r="C9" s="50" t="n">
        <f aca="false">IF(RIGHT(TRIM(B9),2)="mV",VALUE(LEFT(TRIM(B9),LEN(TRIM(B9))-2))/1000,IF(RIGHT(TRIM(B9),1)="V",VALUE(LEFT(TRIM(B9),LEN(TRIM(B9))-1)),""))</f>
        <v>0.048</v>
      </c>
      <c r="D9" s="51" t="n">
        <f aca="false">ABS(C9-$F$4)</f>
        <v>0.8088</v>
      </c>
      <c r="J9" s="1"/>
      <c r="K9" s="49" t="s">
        <v>327</v>
      </c>
      <c r="L9" s="50" t="n">
        <f aca="false">$F$4</f>
        <v>0.8568</v>
      </c>
      <c r="M9" s="1"/>
    </row>
    <row r="10" customFormat="false" ht="15" hidden="false" customHeight="false" outlineLevel="0" collapsed="false">
      <c r="A10" s="49" t="n">
        <v>7</v>
      </c>
      <c r="B10" s="49" t="s">
        <v>328</v>
      </c>
      <c r="C10" s="50" t="n">
        <f aca="false">IF(RIGHT(TRIM(B10),2)="mV",VALUE(LEFT(TRIM(B10),LEN(TRIM(B10))-2))/1000,IF(RIGHT(TRIM(B10),1)="V",VALUE(LEFT(TRIM(B10),LEN(TRIM(B10))-1)),""))</f>
        <v>0.056</v>
      </c>
      <c r="D10" s="51" t="n">
        <f aca="false">ABS(C10-$F$4)</f>
        <v>0.8008</v>
      </c>
      <c r="J10" s="1"/>
      <c r="K10" s="49" t="s">
        <v>329</v>
      </c>
      <c r="L10" s="52" t="str">
        <f aca="false">"Step "&amp;$E$4</f>
        <v>Step 15</v>
      </c>
      <c r="M10" s="1"/>
    </row>
    <row r="11" customFormat="false" ht="15" hidden="false" customHeight="false" outlineLevel="0" collapsed="false">
      <c r="A11" s="49" t="n">
        <v>8</v>
      </c>
      <c r="B11" s="49" t="s">
        <v>330</v>
      </c>
      <c r="C11" s="50" t="n">
        <f aca="false">IF(RIGHT(TRIM(B11),2)="mV",VALUE(LEFT(TRIM(B11),LEN(TRIM(B11))-2))/1000,IF(RIGHT(TRIM(B11),1)="V",VALUE(LEFT(TRIM(B11),LEN(TRIM(B11))-1)),""))</f>
        <v>0.072</v>
      </c>
      <c r="D11" s="51" t="n">
        <f aca="false">ABS(C11-$F$4)</f>
        <v>0.7848</v>
      </c>
      <c r="J11" s="1"/>
      <c r="K11" s="49" t="s">
        <v>312</v>
      </c>
      <c r="L11" s="50" t="n">
        <f aca="false">$G$4</f>
        <v>0.872</v>
      </c>
      <c r="M11" s="1"/>
    </row>
    <row r="12" customFormat="false" ht="15" hidden="false" customHeight="false" outlineLevel="0" collapsed="false">
      <c r="A12" s="49" t="n">
        <v>9</v>
      </c>
      <c r="B12" s="49" t="s">
        <v>331</v>
      </c>
      <c r="C12" s="50" t="n">
        <f aca="false">IF(RIGHT(TRIM(B12),2)="mV",VALUE(LEFT(TRIM(B12),LEN(TRIM(B12))-2))/1000,IF(RIGHT(TRIM(B12),1)="V",VALUE(LEFT(TRIM(B12),LEN(TRIM(B12))-1)),""))</f>
        <v>0.104</v>
      </c>
      <c r="D12" s="51" t="n">
        <f aca="false">ABS(C12-$F$4)</f>
        <v>0.7528</v>
      </c>
      <c r="J12" s="1"/>
      <c r="K12" s="49" t="s">
        <v>313</v>
      </c>
      <c r="L12" s="50" t="n">
        <f aca="false">$H$4</f>
        <v>0.0152000000000001</v>
      </c>
      <c r="M12" s="1"/>
    </row>
    <row r="13" customFormat="false" ht="15" hidden="false" customHeight="false" outlineLevel="0" collapsed="false">
      <c r="A13" s="49" t="n">
        <v>10</v>
      </c>
      <c r="B13" s="49" t="s">
        <v>332</v>
      </c>
      <c r="C13" s="50" t="n">
        <f aca="false">IF(RIGHT(TRIM(B13),2)="mV",VALUE(LEFT(TRIM(B13),LEN(TRIM(B13))-2))/1000,IF(RIGHT(TRIM(B13),1)="V",VALUE(LEFT(TRIM(B13),LEN(TRIM(B13))-1)),""))</f>
        <v>0.152</v>
      </c>
      <c r="D13" s="51" t="n">
        <f aca="false">ABS(C13-$F$4)</f>
        <v>0.7048</v>
      </c>
      <c r="J13" s="1"/>
      <c r="K13" s="49" t="s">
        <v>333</v>
      </c>
      <c r="L13" s="54" t="n">
        <f aca="false">$I$4</f>
        <v>0.0177404295051355</v>
      </c>
      <c r="M13" s="1"/>
    </row>
    <row r="14" customFormat="false" ht="15" hidden="false" customHeight="false" outlineLevel="0" collapsed="false">
      <c r="A14" s="49" t="n">
        <v>11</v>
      </c>
      <c r="B14" s="49" t="s">
        <v>334</v>
      </c>
      <c r="C14" s="50" t="n">
        <f aca="false">IF(RIGHT(TRIM(B14),2)="mV",VALUE(LEFT(TRIM(B14),LEN(TRIM(B14))-2))/1000,IF(RIGHT(TRIM(B14),1)="V",VALUE(LEFT(TRIM(B14),LEN(TRIM(B14))-1)),""))</f>
        <v>0.208</v>
      </c>
      <c r="D14" s="51" t="n">
        <f aca="false">ABS(C14-$F$4)</f>
        <v>0.6488</v>
      </c>
      <c r="J14" s="1"/>
      <c r="K14" s="49" t="s">
        <v>335</v>
      </c>
      <c r="L14" s="50" t="n">
        <f aca="false">$G$4/(2*SQRT(2))</f>
        <v>0.308298556597335</v>
      </c>
      <c r="M14" s="1"/>
    </row>
    <row r="15" customFormat="false" ht="15" hidden="false" customHeight="false" outlineLevel="0" collapsed="false">
      <c r="A15" s="49" t="n">
        <v>12</v>
      </c>
      <c r="B15" s="49" t="s">
        <v>336</v>
      </c>
      <c r="C15" s="50" t="n">
        <f aca="false">IF(RIGHT(TRIM(B15),2)="mV",VALUE(LEFT(TRIM(B15),LEN(TRIM(B15))-2))/1000,IF(RIGHT(TRIM(B15),1)="V",VALUE(LEFT(TRIM(B15),LEN(TRIM(B15))-1)),""))</f>
        <v>0.32</v>
      </c>
      <c r="D15" s="51" t="n">
        <f aca="false">ABS(C15-$F$4)</f>
        <v>0.5368</v>
      </c>
      <c r="J15" s="1"/>
      <c r="K15" s="49" t="s">
        <v>337</v>
      </c>
      <c r="L15" s="50" t="n">
        <f aca="false">$G$4</f>
        <v>0.872</v>
      </c>
      <c r="M15" s="1"/>
    </row>
    <row r="16" customFormat="false" ht="15" hidden="false" customHeight="false" outlineLevel="0" collapsed="false">
      <c r="A16" s="49" t="n">
        <v>13</v>
      </c>
      <c r="B16" s="49" t="s">
        <v>338</v>
      </c>
      <c r="C16" s="50" t="n">
        <f aca="false">IF(RIGHT(TRIM(B16),2)="mV",VALUE(LEFT(TRIM(B16),LEN(TRIM(B16))-2))/1000,IF(RIGHT(TRIM(B16),1)="V",VALUE(LEFT(TRIM(B16),LEN(TRIM(B16))-1)),""))</f>
        <v>0.448</v>
      </c>
      <c r="D16" s="51" t="n">
        <f aca="false">ABS(C16-$F$4)</f>
        <v>0.4088</v>
      </c>
      <c r="J16" s="1"/>
      <c r="K16" s="49" t="s">
        <v>339</v>
      </c>
      <c r="L16" s="50" t="n">
        <f aca="false">$L$14</f>
        <v>0.308298556597335</v>
      </c>
      <c r="M16" s="1"/>
    </row>
    <row r="17" customFormat="false" ht="15" hidden="false" customHeight="false" outlineLevel="0" collapsed="false">
      <c r="A17" s="49" t="n">
        <v>14</v>
      </c>
      <c r="B17" s="49" t="s">
        <v>340</v>
      </c>
      <c r="C17" s="50" t="n">
        <f aca="false">IF(RIGHT(TRIM(B17),2)="mV",VALUE(LEFT(TRIM(B17),LEN(TRIM(B17))-2))/1000,IF(RIGHT(TRIM(B17),1)="V",VALUE(LEFT(TRIM(B17),LEN(TRIM(B17))-1)),""))</f>
        <v>0.624</v>
      </c>
      <c r="D17" s="51" t="n">
        <f aca="false">ABS(C17-$F$4)</f>
        <v>0.2328</v>
      </c>
      <c r="J17" s="1"/>
      <c r="M17" s="1"/>
    </row>
    <row r="18" customFormat="false" ht="15" hidden="false" customHeight="false" outlineLevel="0" collapsed="false">
      <c r="A18" s="49" t="n">
        <v>15</v>
      </c>
      <c r="B18" s="49" t="s">
        <v>341</v>
      </c>
      <c r="C18" s="50" t="n">
        <f aca="false">IF(RIGHT(TRIM(B18),2)="mV",VALUE(LEFT(TRIM(B18),LEN(TRIM(B18))-2))/1000,IF(RIGHT(TRIM(B18),1)="V",VALUE(LEFT(TRIM(B18),LEN(TRIM(B18))-1)),""))</f>
        <v>0.872</v>
      </c>
      <c r="D18" s="51" t="n">
        <f aca="false">ABS(C18-$F$4)</f>
        <v>0.0152000000000001</v>
      </c>
      <c r="J18" s="1"/>
      <c r="M18" s="1"/>
    </row>
    <row r="19" customFormat="false" ht="15" hidden="false" customHeight="false" outlineLevel="0" collapsed="false">
      <c r="A19" s="49" t="n">
        <v>16</v>
      </c>
      <c r="B19" s="49" t="s">
        <v>342</v>
      </c>
      <c r="C19" s="50" t="n">
        <f aca="false">IF(RIGHT(TRIM(B19),2)="mV",VALUE(LEFT(TRIM(B19),LEN(TRIM(B19))-2))/1000,IF(RIGHT(TRIM(B19),1)="V",VALUE(LEFT(TRIM(B19),LEN(TRIM(B19))-1)),""))</f>
        <v>1.224</v>
      </c>
      <c r="D19" s="51" t="n">
        <f aca="false">ABS(C19-$F$4)</f>
        <v>0.3672</v>
      </c>
      <c r="J19" s="1"/>
      <c r="M19" s="1"/>
    </row>
    <row r="20" customFormat="false" ht="15" hidden="false" customHeight="false" outlineLevel="0" collapsed="false">
      <c r="A20" s="55"/>
      <c r="D20" s="1"/>
      <c r="J20" s="1"/>
      <c r="M20" s="1"/>
    </row>
    <row r="21" customFormat="false" ht="15" hidden="false" customHeight="false" outlineLevel="0" collapsed="false">
      <c r="A21" s="55"/>
      <c r="D21" s="1"/>
      <c r="J21" s="1"/>
      <c r="M21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.14"/>
    <col collapsed="false" customWidth="true" hidden="false" outlineLevel="0" max="2" min="2" style="1" width="12"/>
    <col collapsed="false" customWidth="true" hidden="false" outlineLevel="0" max="3" min="3" style="1" width="5.71"/>
    <col collapsed="false" customWidth="true" hidden="false" outlineLevel="0" max="4" min="4" style="1" width="38.86"/>
  </cols>
  <sheetData>
    <row r="1" customFormat="false" ht="15" hidden="false" customHeight="false" outlineLevel="0" collapsed="false">
      <c r="A1" s="43" t="s">
        <v>343</v>
      </c>
      <c r="B1" s="43" t="s">
        <v>344</v>
      </c>
      <c r="C1" s="43" t="s">
        <v>345</v>
      </c>
      <c r="D1" s="43" t="s">
        <v>346</v>
      </c>
    </row>
    <row r="2" customFormat="false" ht="15" hidden="false" customHeight="true" outlineLevel="0" collapsed="false">
      <c r="A2" s="57" t="s">
        <v>347</v>
      </c>
      <c r="B2" s="57"/>
      <c r="C2" s="57"/>
      <c r="D2" s="57"/>
    </row>
    <row r="3" customFormat="false" ht="15" hidden="false" customHeight="false" outlineLevel="0" collapsed="false">
      <c r="A3" s="49" t="s">
        <v>348</v>
      </c>
      <c r="B3" s="50" t="n">
        <f aca="false">'MB Phone Characterisation'!L8</f>
        <v>1.224</v>
      </c>
      <c r="C3" s="49" t="s">
        <v>349</v>
      </c>
      <c r="D3" s="49"/>
    </row>
    <row r="4" customFormat="false" ht="15" hidden="false" customHeight="false" outlineLevel="0" collapsed="false">
      <c r="A4" s="49" t="s">
        <v>350</v>
      </c>
      <c r="B4" s="49" t="n">
        <f aca="false">0.7*B3</f>
        <v>0.8568</v>
      </c>
      <c r="C4" s="49" t="s">
        <v>349</v>
      </c>
      <c r="D4" s="49"/>
    </row>
    <row r="5" customFormat="false" ht="15" hidden="false" customHeight="false" outlineLevel="0" collapsed="false">
      <c r="A5" s="49" t="s">
        <v>351</v>
      </c>
      <c r="B5" s="50" t="n">
        <f aca="false">'MB Phone Characterisation'!L15</f>
        <v>0.872</v>
      </c>
      <c r="C5" s="49" t="s">
        <v>349</v>
      </c>
      <c r="D5" s="49"/>
    </row>
    <row r="6" customFormat="false" ht="15" hidden="false" customHeight="false" outlineLevel="0" collapsed="false">
      <c r="A6" s="49" t="s">
        <v>352</v>
      </c>
      <c r="B6" s="50" t="n">
        <f aca="false">'MB Phone Characterisation'!L16</f>
        <v>0.308298556597335</v>
      </c>
      <c r="C6" s="49" t="s">
        <v>349</v>
      </c>
      <c r="D6" s="49"/>
    </row>
    <row r="7" customFormat="false" ht="15" hidden="false" customHeight="true" outlineLevel="0" collapsed="false">
      <c r="A7" s="57" t="s">
        <v>353</v>
      </c>
      <c r="B7" s="57"/>
      <c r="C7" s="57"/>
      <c r="D7" s="57"/>
    </row>
    <row r="8" customFormat="false" ht="15" hidden="false" customHeight="false" outlineLevel="0" collapsed="false">
      <c r="A8" s="49" t="s">
        <v>354</v>
      </c>
      <c r="B8" s="49" t="n">
        <v>3</v>
      </c>
      <c r="C8" s="49" t="s">
        <v>349</v>
      </c>
      <c r="D8" s="49"/>
    </row>
    <row r="9" customFormat="false" ht="15" hidden="false" customHeight="false" outlineLevel="0" collapsed="false">
      <c r="A9" s="49" t="s">
        <v>355</v>
      </c>
      <c r="B9" s="49" t="n">
        <f aca="false">B8/B5</f>
        <v>3.44036697247706</v>
      </c>
      <c r="C9" s="49" t="s">
        <v>356</v>
      </c>
      <c r="D9" s="49"/>
    </row>
    <row r="10" customFormat="false" ht="15" hidden="false" customHeight="false" outlineLevel="0" collapsed="false">
      <c r="A10" s="49" t="s">
        <v>357</v>
      </c>
      <c r="B10" s="49" t="n">
        <f aca="false">20*LOG10(B9)</f>
        <v>10.7320953957419</v>
      </c>
      <c r="C10" s="49" t="s">
        <v>358</v>
      </c>
      <c r="D10" s="49"/>
    </row>
    <row r="11" customFormat="false" ht="15" hidden="false" customHeight="false" outlineLevel="0" collapsed="false">
      <c r="A11" s="49"/>
      <c r="B11" s="49"/>
      <c r="C11" s="49"/>
      <c r="D11" s="49"/>
    </row>
    <row r="12" customFormat="false" ht="15" hidden="false" customHeight="false" outlineLevel="0" collapsed="false">
      <c r="A12" s="49" t="s">
        <v>359</v>
      </c>
      <c r="B12" s="49" t="n">
        <v>82000</v>
      </c>
      <c r="C12" s="49" t="s">
        <v>360</v>
      </c>
      <c r="D12" s="49" t="s">
        <v>154</v>
      </c>
    </row>
    <row r="13" customFormat="false" ht="15" hidden="false" customHeight="false" outlineLevel="0" collapsed="false">
      <c r="A13" s="49" t="s">
        <v>361</v>
      </c>
      <c r="B13" s="49" t="n">
        <f aca="false">B12/B9</f>
        <v>23834.6666666667</v>
      </c>
      <c r="C13" s="49" t="s">
        <v>360</v>
      </c>
      <c r="D13" s="49"/>
    </row>
    <row r="14" customFormat="false" ht="15" hidden="false" customHeight="false" outlineLevel="0" collapsed="false">
      <c r="A14" s="49" t="s">
        <v>362</v>
      </c>
      <c r="B14" s="49" t="n">
        <v>24000</v>
      </c>
      <c r="C14" s="49" t="s">
        <v>360</v>
      </c>
      <c r="D14" s="49" t="s">
        <v>158</v>
      </c>
    </row>
    <row r="15" customFormat="false" ht="15" hidden="false" customHeight="false" outlineLevel="0" collapsed="false">
      <c r="A15" s="49" t="s">
        <v>363</v>
      </c>
      <c r="B15" s="49" t="n">
        <f aca="false">B12/B14</f>
        <v>3.41666666666667</v>
      </c>
      <c r="C15" s="49" t="s">
        <v>356</v>
      </c>
      <c r="D15" s="49"/>
    </row>
    <row r="16" customFormat="false" ht="15" hidden="false" customHeight="false" outlineLevel="0" collapsed="false">
      <c r="A16" s="49" t="s">
        <v>364</v>
      </c>
      <c r="B16" s="49" t="n">
        <f aca="false">20*LOG10(B15)</f>
        <v>10.6720522134422</v>
      </c>
      <c r="C16" s="49" t="s">
        <v>358</v>
      </c>
      <c r="D16" s="49"/>
    </row>
    <row r="17" customFormat="false" ht="15" hidden="false" customHeight="true" outlineLevel="0" collapsed="false">
      <c r="A17" s="57" t="s">
        <v>365</v>
      </c>
      <c r="B17" s="57"/>
      <c r="C17" s="57"/>
      <c r="D17" s="57"/>
    </row>
    <row r="18" customFormat="false" ht="15" hidden="false" customHeight="false" outlineLevel="0" collapsed="false">
      <c r="A18" s="49" t="s">
        <v>366</v>
      </c>
      <c r="B18" s="49" t="n">
        <v>5</v>
      </c>
      <c r="C18" s="49" t="s">
        <v>367</v>
      </c>
      <c r="D18" s="49"/>
    </row>
    <row r="19" customFormat="false" ht="15" hidden="false" customHeight="false" outlineLevel="0" collapsed="false">
      <c r="A19" s="49" t="s">
        <v>368</v>
      </c>
      <c r="B19" s="49" t="n">
        <f aca="false">1/(2*PI()*B14*B18)</f>
        <v>1.32629119243246E-006</v>
      </c>
      <c r="C19" s="49" t="s">
        <v>369</v>
      </c>
      <c r="D19" s="49"/>
    </row>
    <row r="20" customFormat="false" ht="15" hidden="false" customHeight="false" outlineLevel="0" collapsed="false">
      <c r="A20" s="49" t="s">
        <v>370</v>
      </c>
      <c r="B20" s="58" t="n">
        <v>1E-006</v>
      </c>
      <c r="C20" s="49" t="s">
        <v>369</v>
      </c>
      <c r="D20" s="49" t="s">
        <v>176</v>
      </c>
    </row>
    <row r="21" customFormat="false" ht="15" hidden="false" customHeight="false" outlineLevel="0" collapsed="false">
      <c r="A21" s="49" t="s">
        <v>371</v>
      </c>
      <c r="B21" s="49" t="n">
        <f aca="false">1/(2*PI()*B14*B20)</f>
        <v>6.63145596216231</v>
      </c>
      <c r="C21" s="49" t="s">
        <v>367</v>
      </c>
      <c r="D21" s="49"/>
    </row>
    <row r="22" customFormat="false" ht="15" hidden="false" customHeight="true" outlineLevel="0" collapsed="false">
      <c r="A22" s="57" t="s">
        <v>372</v>
      </c>
      <c r="B22" s="57"/>
      <c r="C22" s="57"/>
      <c r="D22" s="57"/>
    </row>
    <row r="23" customFormat="false" ht="15" hidden="false" customHeight="false" outlineLevel="0" collapsed="false">
      <c r="A23" s="49" t="s">
        <v>373</v>
      </c>
      <c r="B23" s="49" t="n">
        <v>29000</v>
      </c>
      <c r="C23" s="49" t="s">
        <v>367</v>
      </c>
      <c r="D23" s="49"/>
    </row>
    <row r="24" customFormat="false" ht="15" hidden="false" customHeight="false" outlineLevel="0" collapsed="false">
      <c r="A24" s="49" t="s">
        <v>374</v>
      </c>
      <c r="B24" s="49" t="n">
        <f aca="false">1/(2*PI()*$B$12*B23)</f>
        <v>6.6928066901554E-011</v>
      </c>
      <c r="C24" s="49" t="s">
        <v>369</v>
      </c>
      <c r="D24" s="49"/>
    </row>
    <row r="25" customFormat="false" ht="15" hidden="false" customHeight="false" outlineLevel="0" collapsed="false">
      <c r="A25" s="49" t="s">
        <v>375</v>
      </c>
      <c r="B25" s="58" t="n">
        <v>6.8E-011</v>
      </c>
      <c r="C25" s="49" t="s">
        <v>369</v>
      </c>
      <c r="D25" s="49" t="s">
        <v>172</v>
      </c>
    </row>
    <row r="26" customFormat="false" ht="15" hidden="false" customHeight="false" outlineLevel="0" collapsed="false">
      <c r="A26" s="49" t="s">
        <v>376</v>
      </c>
      <c r="B26" s="49" t="n">
        <f aca="false">1/(2*PI()*$B$12*$B$25)</f>
        <v>28542.8520609568</v>
      </c>
      <c r="C26" s="49" t="s">
        <v>367</v>
      </c>
      <c r="D26" s="49"/>
    </row>
    <row r="27" customFormat="false" ht="15" hidden="false" customHeight="true" outlineLevel="0" collapsed="false">
      <c r="A27" s="57" t="s">
        <v>377</v>
      </c>
      <c r="B27" s="57"/>
      <c r="C27" s="57"/>
      <c r="D27" s="57"/>
    </row>
    <row r="28" customFormat="false" ht="15" hidden="false" customHeight="false" outlineLevel="0" collapsed="false">
      <c r="A28" s="49" t="s">
        <v>378</v>
      </c>
      <c r="B28" s="58" t="n">
        <v>1E-007</v>
      </c>
      <c r="C28" s="49" t="s">
        <v>369</v>
      </c>
      <c r="D28" s="49" t="s">
        <v>180</v>
      </c>
    </row>
    <row r="29" customFormat="false" ht="15" hidden="false" customHeight="false" outlineLevel="0" collapsed="false">
      <c r="A29" s="49" t="s">
        <v>379</v>
      </c>
      <c r="B29" s="58" t="n">
        <v>1E-007</v>
      </c>
      <c r="C29" s="49" t="s">
        <v>369</v>
      </c>
      <c r="D29" s="49" t="s">
        <v>180</v>
      </c>
    </row>
    <row r="30" customFormat="false" ht="15" hidden="false" customHeight="false" outlineLevel="0" collapsed="false">
      <c r="A30" s="49"/>
      <c r="B30" s="49"/>
      <c r="C30" s="49"/>
      <c r="D30" s="49"/>
    </row>
    <row r="31" customFormat="false" ht="15" hidden="false" customHeight="false" outlineLevel="0" collapsed="false">
      <c r="A31" s="49" t="s">
        <v>380</v>
      </c>
      <c r="B31" s="58" t="n">
        <v>1E-007</v>
      </c>
      <c r="C31" s="49" t="s">
        <v>369</v>
      </c>
      <c r="D31" s="49" t="s">
        <v>180</v>
      </c>
    </row>
    <row r="32" customFormat="false" ht="15" hidden="false" customHeight="false" outlineLevel="0" collapsed="false">
      <c r="A32" s="49" t="s">
        <v>381</v>
      </c>
      <c r="B32" s="58" t="n">
        <v>1E-007</v>
      </c>
      <c r="C32" s="49" t="s">
        <v>369</v>
      </c>
      <c r="D32" s="49" t="s">
        <v>180</v>
      </c>
    </row>
    <row r="33" customFormat="false" ht="15" hidden="false" customHeight="false" outlineLevel="0" collapsed="false">
      <c r="A33" s="49"/>
      <c r="B33" s="49"/>
      <c r="C33" s="49"/>
      <c r="D33" s="49"/>
    </row>
    <row r="34" customFormat="false" ht="15" hidden="false" customHeight="false" outlineLevel="0" collapsed="false">
      <c r="A34" s="49" t="s">
        <v>382</v>
      </c>
      <c r="B34" s="58" t="n">
        <v>1E-005</v>
      </c>
      <c r="C34" s="49" t="s">
        <v>369</v>
      </c>
      <c r="D34" s="49" t="s">
        <v>184</v>
      </c>
    </row>
    <row r="35" customFormat="false" ht="15" hidden="false" customHeight="false" outlineLevel="0" collapsed="false">
      <c r="A35" s="49" t="s">
        <v>383</v>
      </c>
      <c r="B35" s="58" t="n">
        <v>1E-005</v>
      </c>
      <c r="C35" s="49" t="s">
        <v>369</v>
      </c>
      <c r="D35" s="49" t="s">
        <v>184</v>
      </c>
    </row>
  </sheetData>
  <mergeCells count="5">
    <mergeCell ref="A2:D2"/>
    <mergeCell ref="A7:D7"/>
    <mergeCell ref="A17:D17"/>
    <mergeCell ref="A22:D22"/>
    <mergeCell ref="A27:D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14"/>
    <col collapsed="false" customWidth="true" hidden="false" outlineLevel="0" max="2" min="2" style="1" width="10.85"/>
  </cols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2026-01-22T04:01:24Z</dcterms:created>
  <dc:creator>Isaac Adjei (Student)</dc:creator>
  <dc:description/>
  <dc:language>en-US</dc:language>
  <cp:lastModifiedBy/>
  <dcterms:modified xsi:type="dcterms:W3CDTF">2026-03-05T22:38:29Z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