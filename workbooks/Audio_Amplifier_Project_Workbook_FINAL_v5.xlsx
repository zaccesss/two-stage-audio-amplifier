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astonac-my.sharepoint.com/personal/240191278_aston_ac_uk/Documents/240191278_EECS_Beng/240191278_EECS (First Year)/EI1EL2 (Electronics 2)/Personal Files, Projects &amp; Others/Audio Amplifier/"/>
    </mc:Choice>
  </mc:AlternateContent>
  <xr:revisionPtr revIDLastSave="30" documentId="8_{BAE260B1-01F1-4F5D-9496-8239B8D1DDF8}" xr6:coauthVersionLast="47" xr6:coauthVersionMax="47" xr10:uidLastSave="{37A17B07-5CF9-4450-9A4B-63E9CB2B7D7F}"/>
  <bookViews>
    <workbookView xWindow="-120" yWindow="-120" windowWidth="38640" windowHeight="21120" xr2:uid="{00000000-000D-0000-FFFF-FFFF00000000}"/>
  </bookViews>
  <sheets>
    <sheet name="Dashboard" sheetId="1" r:id="rId1"/>
    <sheet name="Gantt" sheetId="2" r:id="rId2"/>
    <sheet name="BOM" sheetId="3" r:id="rId3"/>
    <sheet name="Report Breakdown" sheetId="4" r:id="rId4"/>
    <sheet name="MB Phone Characterisation" sheetId="5" r:id="rId5"/>
    <sheet name="Design Calculations" sheetId="6" r:id="rId6"/>
    <sheet name="Play ground 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6" l="1"/>
  <c r="B24" i="6"/>
  <c r="B21" i="6"/>
  <c r="B19" i="6"/>
  <c r="B15" i="6"/>
  <c r="B16" i="6" s="1"/>
  <c r="C19" i="5"/>
  <c r="D19" i="5" s="1"/>
  <c r="C18" i="5"/>
  <c r="D18" i="5" s="1"/>
  <c r="C17" i="5"/>
  <c r="D17" i="5" s="1"/>
  <c r="C16" i="5"/>
  <c r="D16" i="5" s="1"/>
  <c r="C15" i="5"/>
  <c r="C14" i="5"/>
  <c r="D14" i="5" s="1"/>
  <c r="C13" i="5"/>
  <c r="D13" i="5" s="1"/>
  <c r="C12" i="5"/>
  <c r="D12" i="5" s="1"/>
  <c r="C11" i="5"/>
  <c r="C10" i="5"/>
  <c r="D10" i="5" s="1"/>
  <c r="C9" i="5"/>
  <c r="D9" i="5" s="1"/>
  <c r="C8" i="5"/>
  <c r="D8" i="5" s="1"/>
  <c r="C7" i="5"/>
  <c r="C6" i="5"/>
  <c r="D6" i="5" s="1"/>
  <c r="C5" i="5"/>
  <c r="D5" i="5" s="1"/>
  <c r="F4" i="5"/>
  <c r="D7" i="5" s="1"/>
  <c r="C4" i="5"/>
  <c r="D4" i="5" s="1"/>
  <c r="P26" i="4"/>
  <c r="P25" i="4"/>
  <c r="P24" i="4"/>
  <c r="P23" i="4"/>
  <c r="P17" i="4"/>
  <c r="P16" i="4"/>
  <c r="P15" i="4"/>
  <c r="P14" i="4"/>
  <c r="P13" i="4"/>
  <c r="P12" i="4"/>
  <c r="P11" i="4"/>
  <c r="P10" i="4"/>
  <c r="N6" i="4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36" i="3" s="1"/>
  <c r="I10" i="3"/>
  <c r="I9" i="3"/>
  <c r="I8" i="3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M4" i="2" s="1"/>
  <c r="N4" i="2" s="1"/>
  <c r="B7" i="1" s="1"/>
  <c r="P8" i="2"/>
  <c r="P7" i="2"/>
  <c r="P6" i="2"/>
  <c r="P5" i="2"/>
  <c r="M5" i="2"/>
  <c r="N5" i="2" s="1"/>
  <c r="B9" i="1" s="1"/>
  <c r="H38" i="1"/>
  <c r="G38" i="1"/>
  <c r="H37" i="1"/>
  <c r="G37" i="1"/>
  <c r="H36" i="1"/>
  <c r="G36" i="1"/>
  <c r="H35" i="1"/>
  <c r="G35" i="1"/>
  <c r="H34" i="1"/>
  <c r="G34" i="1"/>
  <c r="H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E19" i="1"/>
  <c r="E18" i="1"/>
  <c r="E17" i="1"/>
  <c r="E16" i="1"/>
  <c r="E15" i="1"/>
  <c r="E14" i="1"/>
  <c r="G10" i="1"/>
  <c r="G9" i="1"/>
  <c r="G8" i="1"/>
  <c r="B8" i="1"/>
  <c r="G7" i="1"/>
  <c r="D11" i="5" l="1"/>
  <c r="E4" i="5" s="1"/>
  <c r="O4" i="5"/>
  <c r="L8" i="5"/>
  <c r="B3" i="6" s="1"/>
  <c r="B4" i="6" s="1"/>
  <c r="O5" i="5"/>
  <c r="L9" i="5"/>
  <c r="D15" i="5"/>
  <c r="N7" i="5" l="1"/>
  <c r="L10" i="5"/>
  <c r="G4" i="5"/>
  <c r="L14" i="5" l="1"/>
  <c r="L16" i="5" s="1"/>
  <c r="B6" i="6" s="1"/>
  <c r="L15" i="5"/>
  <c r="B5" i="6" s="1"/>
  <c r="B9" i="6" s="1"/>
  <c r="O7" i="5"/>
  <c r="L11" i="5"/>
  <c r="I4" i="5"/>
  <c r="L13" i="5" s="1"/>
  <c r="H4" i="5"/>
  <c r="L12" i="5" s="1"/>
  <c r="B13" i="6" l="1"/>
  <c r="B10" i="6"/>
</calcChain>
</file>

<file path=xl/sharedStrings.xml><?xml version="1.0" encoding="utf-8"?>
<sst xmlns="http://schemas.openxmlformats.org/spreadsheetml/2006/main" count="610" uniqueCount="357">
  <si>
    <t>AUDIO AMPLIFIER PROJECT WORKBOOK</t>
  </si>
  <si>
    <t>Live tracker + Gantt + BOM + design calculations</t>
  </si>
  <si>
    <t>Project window: 19 Jan 2026 to 20 Feb 2026</t>
  </si>
  <si>
    <t>How to use: Update task dates &amp; % complete in the Gantt sheet. Update purchase/received status in the BOM sheet. Dashboard updates automatically.</t>
  </si>
  <si>
    <t>Task Status</t>
  </si>
  <si>
    <t>Count</t>
  </si>
  <si>
    <t>Overall progress (%)</t>
  </si>
  <si>
    <t>Not Started</t>
  </si>
  <si>
    <t>Days remaining</t>
  </si>
  <si>
    <t>In Progress</t>
  </si>
  <si>
    <t>Tasks complete</t>
  </si>
  <si>
    <t>Done</t>
  </si>
  <si>
    <t>Blocked</t>
  </si>
  <si>
    <t>Key sign-offs / deliverables (from project guidance)</t>
  </si>
  <si>
    <t>Deliverable</t>
  </si>
  <si>
    <t>Planned date</t>
  </si>
  <si>
    <t>Status</t>
  </si>
  <si>
    <t>Notes</t>
  </si>
  <si>
    <t>% Complete</t>
  </si>
  <si>
    <t>Final schematic check</t>
  </si>
  <si>
    <t>Final PCB check</t>
  </si>
  <si>
    <t>PCB soldering check</t>
  </si>
  <si>
    <t>Final test &amp; measurement</t>
  </si>
  <si>
    <t>Final audio check using speaker</t>
  </si>
  <si>
    <t>Report draft complete</t>
  </si>
  <si>
    <t>Final report submitted</t>
  </si>
  <si>
    <t>Date</t>
  </si>
  <si>
    <t>Planned done</t>
  </si>
  <si>
    <t>Actual done</t>
  </si>
  <si>
    <t>Recommendations (so this stays smooth in Week 3–7)</t>
  </si>
  <si>
    <t>• Lock in your power plan early (9V vs 12V). Then choose switch, LED resistor, and connector to match.</t>
  </si>
  <si>
    <t>• Treat decoupling as 'non‑negotiable' (100 nF right next to each op‑amp supply pin) to avoid oscillation.</t>
  </si>
  <si>
    <t>• Use an 8 Ω speaker in an enclosure if possible — it’s the biggest improvement for perceived audio quality.</t>
  </si>
  <si>
    <t>• Do one AC sweep + one 440 Hz transient in Proteus for each major change, then export plots to Excel for the report.</t>
  </si>
  <si>
    <t>• Photograph each build stage (breadboard → PCB → final assembly) so the report is easy to write.</t>
  </si>
  <si>
    <t>BOM Status</t>
  </si>
  <si>
    <t>To Get</t>
  </si>
  <si>
    <t>To Buy</t>
  </si>
  <si>
    <t>Ordered</t>
  </si>
  <si>
    <t>Received</t>
  </si>
  <si>
    <t>Optional</t>
  </si>
  <si>
    <t>PROJECT GANTT CHART (LIVE)</t>
  </si>
  <si>
    <t>Edit Start/End/% Complete — bars update automatically</t>
  </si>
  <si>
    <t>19 Jan 2026 to 20 Feb 2026 (weekdays shown)</t>
  </si>
  <si>
    <t>Overall % (duration-weighted)</t>
  </si>
  <si>
    <t>Tip: Keep tasks small (1–3 days). Use Status + %Complete. For milestones set Start=End.</t>
  </si>
  <si>
    <t>Tasks done</t>
  </si>
  <si>
    <t>ID</t>
  </si>
  <si>
    <t>Task</t>
  </si>
  <si>
    <t>Category</t>
  </si>
  <si>
    <t>Owner</t>
  </si>
  <si>
    <t>Start</t>
  </si>
  <si>
    <t>End</t>
  </si>
  <si>
    <t>Duration (wd)</t>
  </si>
  <si>
    <t>Dependencies</t>
  </si>
  <si>
    <t>Mon</t>
  </si>
  <si>
    <t>Tue</t>
  </si>
  <si>
    <t>Wed</t>
  </si>
  <si>
    <t>Thu</t>
  </si>
  <si>
    <t>Fri</t>
  </si>
  <si>
    <t>T01</t>
  </si>
  <si>
    <t>Read brief + rubric + set up workbook</t>
  </si>
  <si>
    <t>Planning</t>
  </si>
  <si>
    <t>Zac</t>
  </si>
  <si>
    <t>Set up files / plan</t>
  </si>
  <si>
    <t>T02</t>
  </si>
  <si>
    <t>Week 3 self-study: TL071/OPA551 datasheets + active bandpass videos</t>
  </si>
  <si>
    <t>T03</t>
  </si>
  <si>
    <t>Mobile phone characterisation (440 Hz Vpp vs volume)</t>
  </si>
  <si>
    <t>Measurements</t>
  </si>
  <si>
    <t>T04</t>
  </si>
  <si>
    <t>Design calculations in Excel (gain, R1/R2, C1/C2, decoupling)</t>
  </si>
  <si>
    <t>Design</t>
  </si>
  <si>
    <t>Use Design Calculations sheet</t>
  </si>
  <si>
    <t>T05</t>
  </si>
  <si>
    <t>Proteus sim (dual supply): AC sweep + transient @ 440 Hz</t>
  </si>
  <si>
    <t>Simulation</t>
  </si>
  <si>
    <t>Capture plots for report</t>
  </si>
  <si>
    <t>M01</t>
  </si>
  <si>
    <t>Sign-off: Final schematic check</t>
  </si>
  <si>
    <t>Milestone</t>
  </si>
  <si>
    <t>T06</t>
  </si>
  <si>
    <t>Breadboard build (dual supply) + measurements</t>
  </si>
  <si>
    <t>Lab build/test</t>
  </si>
  <si>
    <t>Freq response + gain check</t>
  </si>
  <si>
    <t>T07</t>
  </si>
  <si>
    <t>Single-supply bias design + update schematic</t>
  </si>
  <si>
    <t>Bias network + AC coupling</t>
  </si>
  <si>
    <t>T08</t>
  </si>
  <si>
    <t>Proteus sim (single supply): stability + clipping check</t>
  </si>
  <si>
    <t>T09</t>
  </si>
  <si>
    <t>Breadboard build (single supply) + measurements</t>
  </si>
  <si>
    <t>T10</t>
  </si>
  <si>
    <t>Order / collect remaining parts (switch, LED, connectors, speaker/enclosure, power)</t>
  </si>
  <si>
    <t>Procurement</t>
  </si>
  <si>
    <t>T11</t>
  </si>
  <si>
    <t>PCB layout in Proteus + DRC</t>
  </si>
  <si>
    <t>PCB</t>
  </si>
  <si>
    <t>Include mounting holes</t>
  </si>
  <si>
    <t>M02</t>
  </si>
  <si>
    <t>Sign-off: Final PCB check</t>
  </si>
  <si>
    <t>T12</t>
  </si>
  <si>
    <t>PCB manufacture / print / prep (depends on process)</t>
  </si>
  <si>
    <t>M03</t>
  </si>
  <si>
    <t>Sign-off: PCB soldering check</t>
  </si>
  <si>
    <t>T13</t>
  </si>
  <si>
    <t>Final assembly on base plate + wiring tidy + strain relief</t>
  </si>
  <si>
    <t>Assembly</t>
  </si>
  <si>
    <t>M04</t>
  </si>
  <si>
    <t>Sign-off: Final test &amp; measurement</t>
  </si>
  <si>
    <t>M05</t>
  </si>
  <si>
    <t>Sign-off: Final audio check using speaker</t>
  </si>
  <si>
    <t>T14</t>
  </si>
  <si>
    <t>Report writing: screenshots, plots, BOM, reflection</t>
  </si>
  <si>
    <t>Report</t>
  </si>
  <si>
    <t>Keep within 15 pages</t>
  </si>
  <si>
    <t>M06</t>
  </si>
  <si>
    <t>Sign-off: Final report submitted</t>
  </si>
  <si>
    <t>Submit on Blackboard</t>
  </si>
  <si>
    <t>BILL OF MATERIALS (BOM)</t>
  </si>
  <si>
    <t>Includes university-provided and recommended purchased items</t>
  </si>
  <si>
    <t>Update Qty, Provided?, Status, Supplier, and Cost</t>
  </si>
  <si>
    <t>Tip: Mark Provided by Uni = Yes for items you collect from stock. Use Status to track buying. Total cost updates automatically.</t>
  </si>
  <si>
    <t>Component / Item</t>
  </si>
  <si>
    <t>Specification / Value</t>
  </si>
  <si>
    <t>Qty</t>
  </si>
  <si>
    <t>Provided by Uni?</t>
  </si>
  <si>
    <t>Supplier</t>
  </si>
  <si>
    <t>Part No / Link</t>
  </si>
  <si>
    <t>Unit Cost</t>
  </si>
  <si>
    <t>Total Cost</t>
  </si>
  <si>
    <t>Priority</t>
  </si>
  <si>
    <t>ICs</t>
  </si>
  <si>
    <t>TL071 op-amp</t>
  </si>
  <si>
    <t>DIP-8 (TL071CP equivalent)</t>
  </si>
  <si>
    <t>Yes</t>
  </si>
  <si>
    <t>High</t>
  </si>
  <si>
    <t>Required for summing + band-pass</t>
  </si>
  <si>
    <t>OPA551 power op-amp</t>
  </si>
  <si>
    <t>DIP-8 (OPA551PA equivalent)</t>
  </si>
  <si>
    <t>Required for speaker drive</t>
  </si>
  <si>
    <t>Resistors</t>
  </si>
  <si>
    <t>R1 (feedback)</t>
  </si>
  <si>
    <t>82 kΩ (MF25_82k)</t>
  </si>
  <si>
    <t>From design calculations</t>
  </si>
  <si>
    <t>R2 (gain set)</t>
  </si>
  <si>
    <t>24 kΩ (MF25_24k)</t>
  </si>
  <si>
    <t>Stereo summing resistors (L &amp; R)</t>
  </si>
  <si>
    <t>10 kΩ (typical) — confirm in schematic</t>
  </si>
  <si>
    <t>Stops L/R outputs fighting</t>
  </si>
  <si>
    <t>Bias network resistors</t>
  </si>
  <si>
    <t>2× 47 kΩ (typical) — confirm</t>
  </si>
  <si>
    <t>Med</t>
  </si>
  <si>
    <t>For mid-supply reference</t>
  </si>
  <si>
    <t>Capacitors</t>
  </si>
  <si>
    <t>C1 (upper cut-off)</t>
  </si>
  <si>
    <t>68 pF ceramic (CER_68P)</t>
  </si>
  <si>
    <t>C2 (lower cut-off)</t>
  </si>
  <si>
    <t>1 µF electrolytic (ELEC_1U)</t>
  </si>
  <si>
    <t>Input coupling capacitor</t>
  </si>
  <si>
    <t>1–10 µF electrolytic — confirm</t>
  </si>
  <si>
    <t>Blocks DC into bias point</t>
  </si>
  <si>
    <t>Decoupling caps</t>
  </si>
  <si>
    <t>100 nF (POLY_100N)</t>
  </si>
  <si>
    <t>+V and -V for TL071 &amp; OPA551</t>
  </si>
  <si>
    <t>Bulk decoupling caps</t>
  </si>
  <si>
    <t>10 µF (ELEC_10U)</t>
  </si>
  <si>
    <t>Near OPA551 supply pins</t>
  </si>
  <si>
    <t>Connectors</t>
  </si>
  <si>
    <t>3.5 mm stereo input jack</t>
  </si>
  <si>
    <t>Panel mount TRS (stereo)</t>
  </si>
  <si>
    <t>No</t>
  </si>
  <si>
    <t>Phone input</t>
  </si>
  <si>
    <t>Power</t>
  </si>
  <si>
    <t>9 V PP3 battery</t>
  </si>
  <si>
    <t>Alkaline</t>
  </si>
  <si>
    <t>If using battery power</t>
  </si>
  <si>
    <t>9 V PP3 battery clip/holder</t>
  </si>
  <si>
    <t>Leads or panel holder</t>
  </si>
  <si>
    <t>12 V DC adapter</t>
  </si>
  <si>
    <t>Regulated, centre-positive (suggest 1 A)</t>
  </si>
  <si>
    <t>If using DC supply</t>
  </si>
  <si>
    <t>DC barrel jack</t>
  </si>
  <si>
    <t>Panel mount, matches adapter</t>
  </si>
  <si>
    <t>UI</t>
  </si>
  <si>
    <t>On/off switch</t>
  </si>
  <si>
    <t>Toggle/rocker/slide, rated ≥1 A</t>
  </si>
  <si>
    <t>Required by brief</t>
  </si>
  <si>
    <t>Power indicator LED</t>
  </si>
  <si>
    <t>5 mm (any colour) + bezel</t>
  </si>
  <si>
    <t>LED resistor</t>
  </si>
  <si>
    <t>~1 kΩ (depends on LED + supply)</t>
  </si>
  <si>
    <t>Set after choosing supply voltage</t>
  </si>
  <si>
    <t>Audio</t>
  </si>
  <si>
    <t>Speaker</t>
  </si>
  <si>
    <t>8 Ω, 3–5 W (recommended)</t>
  </si>
  <si>
    <t>Better sound and safer load</t>
  </si>
  <si>
    <t>Speaker enclosure (optional)</t>
  </si>
  <si>
    <t>Small box or ready-made enclosure</t>
  </si>
  <si>
    <t>Low</t>
  </si>
  <si>
    <t>Improves audio a lot</t>
  </si>
  <si>
    <t>Build</t>
  </si>
  <si>
    <t>Base plate / mounting</t>
  </si>
  <si>
    <t>Uni-provided base mount + standoffs</t>
  </si>
  <si>
    <t>Must mount securely</t>
  </si>
  <si>
    <t>Hook-up wire</t>
  </si>
  <si>
    <t>Solid core + stranded</t>
  </si>
  <si>
    <t>Heatshrink + cable ties</t>
  </si>
  <si>
    <t>Assorted</t>
  </si>
  <si>
    <t>Neatness + strain relief</t>
  </si>
  <si>
    <t>Screws + standoffs</t>
  </si>
  <si>
    <t>M3 assorted kit</t>
  </si>
  <si>
    <t>Secure mounting</t>
  </si>
  <si>
    <t>Terminal block / speaker connector</t>
  </si>
  <si>
    <t>2-way</t>
  </si>
  <si>
    <t>Easier assembly</t>
  </si>
  <si>
    <t>Thermal</t>
  </si>
  <si>
    <t>Small heatsink (optional)</t>
  </si>
  <si>
    <t>Clip-on for DIP-8 or aluminium tab sink</t>
  </si>
  <si>
    <t>If OPA551 runs warm</t>
  </si>
  <si>
    <t>Estimated total cost</t>
  </si>
  <si>
    <t>Total</t>
  </si>
  <si>
    <t>REPORT BREAKDOWN (Parts B, D, E)</t>
  </si>
  <si>
    <t>Mapping to report sections + build/marking checklist + ordering placeholder</t>
  </si>
  <si>
    <t>Use: Copy/paste into report planning. Update if your design changes.</t>
  </si>
  <si>
    <t>Tip: This sheet is static notes/checklists. Your live schedule is in the Gantt sheet. Your parts list is in the BOM sheet.</t>
  </si>
  <si>
    <t>Overall completion</t>
  </si>
  <si>
    <t>B - Map each requirement to report sections</t>
  </si>
  <si>
    <t>Brief requirement</t>
  </si>
  <si>
    <t>Where I cover it in my report</t>
  </si>
  <si>
    <t>Report section</t>
  </si>
  <si>
    <t>Status score</t>
  </si>
  <si>
    <t>Power requirement (9 V or 12 V)</t>
  </si>
  <si>
    <t>Power supply design and biasing strategy, decoupling</t>
  </si>
  <si>
    <t>Base plate mounting</t>
  </si>
  <si>
    <t>Mechanical construction, photos, safety and wiring</t>
  </si>
  <si>
    <t>On/off switch and power LED</t>
  </si>
  <si>
    <t>User interface, schematic snippet, LED resistor choice</t>
  </si>
  <si>
    <t>TL071 summing and filtering</t>
  </si>
  <si>
    <t>Signal processing stage, calculations, frequency response plot</t>
  </si>
  <si>
    <t>OPA551 speaker driver</t>
  </si>
  <si>
    <t>Power stage design, load considerations, output swing checks</t>
  </si>
  <si>
    <t>University provided components</t>
  </si>
  <si>
    <t>Bill of materials, stock part selection</t>
  </si>
  <si>
    <t>Reuse and sustainability</t>
  </si>
  <si>
    <t>Design considerations and sustainability notes</t>
  </si>
  <si>
    <t>Keep device after marking</t>
  </si>
  <si>
    <t>Conclusion, reflection, portfolio value</t>
  </si>
  <si>
    <t>D - Build and marking checklist</t>
  </si>
  <si>
    <t>Electrical</t>
  </si>
  <si>
    <t>Section</t>
  </si>
  <si>
    <t>•</t>
  </si>
  <si>
    <t>Stereo inputs summed safely (L + R) using resistors into the TL071 summing node</t>
  </si>
  <si>
    <t>Active band-pass filter meets my target cut-offs after rounding to stock parts</t>
  </si>
  <si>
    <t>Mechanical</t>
  </si>
  <si>
    <t>Mid-band gain meets target output without clipping</t>
  </si>
  <si>
    <t>User</t>
  </si>
  <si>
    <t>OPA551 configured to provide current drive into an 8 Ω speaker load</t>
  </si>
  <si>
    <t>Documentation</t>
  </si>
  <si>
    <t>Power supply decoupling fitted close to IC pins</t>
  </si>
  <si>
    <t>PCB or board securely fixed to the base plate</t>
  </si>
  <si>
    <t>Speaker securely fixed and wired safely</t>
  </si>
  <si>
    <t>Battery holder or DC jack securely fixed</t>
  </si>
  <si>
    <t>Wiring tidy, strain relieved, and labelled where needed</t>
  </si>
  <si>
    <t>On/off switch is accessible and clearly labelled</t>
  </si>
  <si>
    <t>Power LED is visible and current limited</t>
  </si>
  <si>
    <t>Excel sheets saved and referenced</t>
  </si>
  <si>
    <t>Proteus plots and screenshots captured</t>
  </si>
  <si>
    <t>Photos taken at key build stages</t>
  </si>
  <si>
    <t>Final block diagram included</t>
  </si>
  <si>
    <t>E - Items I might need to order (placeholder)</t>
  </si>
  <si>
    <t>I will fill this after deciding my final build choices. Typical items include: power option (battery holder or DC adapter), switch, LED parts, speaker, and enclosure hardware. See the BOM sheet to track ordering.</t>
  </si>
  <si>
    <t>Volume (Steps 1-16)</t>
  </si>
  <si>
    <t>Vpp(440Hz)</t>
  </si>
  <si>
    <t>Vpp(440Hz) - Simplified [V]</t>
  </si>
  <si>
    <t>Abs diff to 70% target</t>
  </si>
  <si>
    <t>70% Point (Step)</t>
  </si>
  <si>
    <t>70% Target Vpp [V]</t>
  </si>
  <si>
    <t>Chosen step Vpp [V]</t>
  </si>
  <si>
    <t>Error (Chosen - Target) [V]</t>
  </si>
  <si>
    <t>% Error</t>
  </si>
  <si>
    <t>Source and test conditions</t>
  </si>
  <si>
    <t>X (70% line and chosen point)</t>
  </si>
  <si>
    <t>Y [V] (70% line and chosen point)</t>
  </si>
  <si>
    <t>48.00mV</t>
  </si>
  <si>
    <t>Source device</t>
  </si>
  <si>
    <t>iPhone 14 Pro Max</t>
  </si>
  <si>
    <t>Test tone frequency [Hz]</t>
  </si>
  <si>
    <t>Volume scale</t>
  </si>
  <si>
    <t>Steps 1 to 16</t>
  </si>
  <si>
    <t>Chosen design point</t>
  </si>
  <si>
    <t>70% of max Vpp</t>
  </si>
  <si>
    <t>Max measured Vpp [V]</t>
  </si>
  <si>
    <t>70% target Vpp [V]</t>
  </si>
  <si>
    <t>56.00mV</t>
  </si>
  <si>
    <t>Closest volume step / Chosen design volume setting</t>
  </si>
  <si>
    <t>72.00mV</t>
  </si>
  <si>
    <t>104.0mV</t>
  </si>
  <si>
    <t>152.0mV</t>
  </si>
  <si>
    <t>Percent error</t>
  </si>
  <si>
    <t>208.0mV</t>
  </si>
  <si>
    <t>Chosen step Vrms [V]</t>
  </si>
  <si>
    <t>320.0mV</t>
  </si>
  <si>
    <t>Vin (chosen step) Vpp [V]</t>
  </si>
  <si>
    <t>448.0mV</t>
  </si>
  <si>
    <t>Vin (chosen step) Vrms [V]</t>
  </si>
  <si>
    <t>624.0mV</t>
  </si>
  <si>
    <t>872.0mV</t>
  </si>
  <si>
    <t>1.224V</t>
  </si>
  <si>
    <t>Names / Parameters</t>
  </si>
  <si>
    <t>Values</t>
  </si>
  <si>
    <t>Units</t>
  </si>
  <si>
    <t>Real component name (Proteus Aston name)</t>
  </si>
  <si>
    <t>Phone input values (rows 3–6)</t>
  </si>
  <si>
    <t>Max phone Vpp</t>
  </si>
  <si>
    <t>V</t>
  </si>
  <si>
    <t>0.7 phone Vpp target</t>
  </si>
  <si>
    <t>Chosen design Vin Vpp</t>
  </si>
  <si>
    <t>Chosen design Vin Vrms</t>
  </si>
  <si>
    <t>Gain / resistor results (rows 8–16)</t>
  </si>
  <si>
    <t>Target Vout Vpp (spec)</t>
  </si>
  <si>
    <t>Required gain (V/V)</t>
  </si>
  <si>
    <t>V/V</t>
  </si>
  <si>
    <t>Required gain (dB)</t>
  </si>
  <si>
    <t>dB</t>
  </si>
  <si>
    <t>R1 (given feedback)</t>
  </si>
  <si>
    <t>Ohms</t>
  </si>
  <si>
    <t>MF25_82k</t>
  </si>
  <si>
    <t>R2 calculated (input)</t>
  </si>
  <si>
    <t>R2 rounded (chosen)</t>
  </si>
  <si>
    <t>MF25_24k</t>
  </si>
  <si>
    <t>Actual gain (using rounded R2)</t>
  </si>
  <si>
    <t>Actual gain (dB)</t>
  </si>
  <si>
    <t>Lower cut-off section (rows 18–21)</t>
  </si>
  <si>
    <t>Lower cut-off frequency fl (given)</t>
  </si>
  <si>
    <t>Hz</t>
  </si>
  <si>
    <t>C2 calculated</t>
  </si>
  <si>
    <t>F</t>
  </si>
  <si>
    <t>C2 rounded (chosen)</t>
  </si>
  <si>
    <t>ELEC_1U</t>
  </si>
  <si>
    <t>Actual fl</t>
  </si>
  <si>
    <t>Upper cut-off section (rows 23–26)</t>
  </si>
  <si>
    <t>Upper cut-off frequency fu (chosen)</t>
  </si>
  <si>
    <t>C1 calculated</t>
  </si>
  <si>
    <t>C1 rounded (chosen)</t>
  </si>
  <si>
    <t>CER_68P</t>
  </si>
  <si>
    <t>Actual fu</t>
  </si>
  <si>
    <t>Decoupling caps (rows 28–35)</t>
  </si>
  <si>
    <t>C+ decouple (TL071 +V to 0V)</t>
  </si>
  <si>
    <t>POLY_100N</t>
  </si>
  <si>
    <t>C- decouple (TL071 -V to 0V)</t>
  </si>
  <si>
    <t>OPA551 decouple +V to 0V</t>
  </si>
  <si>
    <t>OPA551 decouple -V to 0V</t>
  </si>
  <si>
    <t>OPA551 bulk +V to 0V</t>
  </si>
  <si>
    <t>ELEC_10U</t>
  </si>
  <si>
    <t>OPA551 bulk -V to 0V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</si>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</sst>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.00"/>
    <numFmt numFmtId="165" formatCode="0.0000"/>
    <numFmt numFmtId="166" formatCode="0.00000"/>
    <numFmt numFmtId="167" formatCode="0.000"/>
  </numFmts>
  <fonts count="14" x14ac:knownFonts="1">
    <font>
      <sz val="11"/>
      <color theme="1"/>
      <name val="Calibri"/>
      <family val="2"/>
      <scheme val="minor"/>
    </font>
    <font>
      <b/>
      <sz val="18"/>
      <color rgb="FF5B2C6F"/>
      <name val="Calibri"/>
    </font>
    <font>
      <i/>
      <sz val="11"/>
      <color rgb="FF5B2C6F"/>
      <name val="Calibri"/>
    </font>
    <font>
      <sz val="11"/>
      <color rgb="FF555555"/>
      <name val="Calibri"/>
    </font>
    <font>
      <sz val="11"/>
      <color rgb="FF343A40"/>
      <name val="Calibri"/>
    </font>
    <font>
      <b/>
      <sz val="11"/>
      <name val="Calibri"/>
    </font>
    <font>
      <b/>
      <sz val="11"/>
      <color rgb="FF0B7285"/>
      <name val="Calibri"/>
    </font>
    <font>
      <b/>
      <sz val="11"/>
      <color rgb="FFFFFFFF"/>
      <name val="Calibri"/>
    </font>
    <font>
      <b/>
      <sz val="11"/>
      <color rgb="FF5B2C6F"/>
      <name val="Calibri"/>
    </font>
    <font>
      <b/>
      <sz val="9"/>
      <color rgb="FFFFFFFF"/>
      <name val="Calibri"/>
    </font>
    <font>
      <b/>
      <sz val="9"/>
      <color rgb="FF5B2C6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E6FCF5"/>
      </patternFill>
    </fill>
    <fill>
      <patternFill patternType="solid">
        <fgColor rgb="FF5B2C6F"/>
      </patternFill>
    </fill>
    <fill>
      <patternFill patternType="solid">
        <fgColor rgb="FFD7BDE2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5C3D99"/>
      </patternFill>
    </fill>
    <fill>
      <patternFill patternType="solid">
        <fgColor rgb="FFF3F0FF"/>
      </patternFill>
    </fill>
    <fill>
      <patternFill patternType="solid">
        <f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33993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0" borderId="1" xfId="0" applyFont="1" applyBorder="1"/>
    <xf numFmtId="9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" fontId="9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10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 applyAlignment="1">
      <alignment vertical="top" wrapText="1"/>
    </xf>
    <xf numFmtId="0" fontId="8" fillId="5" borderId="1" xfId="0" applyFont="1" applyFill="1" applyBorder="1"/>
    <xf numFmtId="164" fontId="6" fillId="3" borderId="1" xfId="0" applyNumberFormat="1" applyFont="1" applyFill="1" applyBorder="1"/>
    <xf numFmtId="0" fontId="11" fillId="0" borderId="0" xfId="0" applyFont="1"/>
    <xf numFmtId="0" fontId="12" fillId="6" borderId="2" xfId="0" applyFont="1" applyFill="1" applyBorder="1" applyAlignment="1">
      <alignment horizontal="center"/>
    </xf>
    <xf numFmtId="165" fontId="12" fillId="6" borderId="2" xfId="0" applyNumberFormat="1" applyFont="1" applyFill="1" applyBorder="1" applyAlignment="1">
      <alignment horizontal="center"/>
    </xf>
    <xf numFmtId="0" fontId="8" fillId="5" borderId="0" xfId="0" applyFont="1" applyFill="1"/>
    <xf numFmtId="0" fontId="12" fillId="6" borderId="2" xfId="0" applyFont="1" applyFill="1" applyBorder="1"/>
    <xf numFmtId="10" fontId="12" fillId="6" borderId="2" xfId="0" applyNumberFormat="1" applyFont="1" applyFill="1" applyBorder="1" applyAlignment="1">
      <alignment horizontal="center"/>
    </xf>
    <xf numFmtId="0" fontId="12" fillId="0" borderId="0" xfId="0" applyFont="1"/>
    <xf numFmtId="0" fontId="11" fillId="0" borderId="2" xfId="0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165" fontId="11" fillId="0" borderId="0" xfId="0" applyNumberFormat="1" applyFont="1"/>
    <xf numFmtId="1" fontId="11" fillId="0" borderId="2" xfId="0" applyNumberFormat="1" applyFont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10" fontId="11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11" fontId="11" fillId="0" borderId="2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5" fillId="0" borderId="0" xfId="0" applyFont="1"/>
    <xf numFmtId="9" fontId="0" fillId="0" borderId="0" xfId="0" applyNumberFormat="1"/>
    <xf numFmtId="16" fontId="0" fillId="0" borderId="0" xfId="0" applyNumberFormat="1"/>
    <xf numFmtId="16" fontId="5" fillId="0" borderId="0" xfId="0" applyNumberFormat="1" applyFont="1"/>
    <xf numFmtId="9" fontId="5" fillId="0" borderId="0" xfId="0" applyNumberFormat="1" applyFont="1"/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/>
    <xf numFmtId="0" fontId="1" fillId="0" borderId="0" xfId="0" applyFont="1" applyAlignment="1">
      <alignment horizontal="center"/>
    </xf>
    <xf numFmtId="0" fontId="0" fillId="0" borderId="0" xfId="0"/>
    <xf numFmtId="0" fontId="0" fillId="9" borderId="0" xfId="0" applyFill="1" applyAlignment="1">
      <alignment vertical="top" wrapText="1"/>
    </xf>
    <xf numFmtId="0" fontId="7" fillId="4" borderId="0" xfId="0" applyFont="1" applyFill="1" applyAlignment="1">
      <alignment horizontal="left"/>
    </xf>
    <xf numFmtId="0" fontId="4" fillId="2" borderId="1" xfId="0" applyFont="1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8" borderId="0" xfId="0" applyFont="1" applyFill="1" applyAlignment="1">
      <alignment horizontal="left" vertical="center"/>
    </xf>
    <xf numFmtId="0" fontId="0" fillId="2" borderId="1" xfId="0" applyFill="1" applyBorder="1" applyAlignment="1">
      <alignment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1" xfId="0" applyFont="1" applyFill="1" applyBorder="1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center" wrapText="1"/>
    </xf>
    <xf numFmtId="0" fontId="0" fillId="0" borderId="6" xfId="0" applyBorder="1"/>
    <xf numFmtId="0" fontId="0" fillId="0" borderId="3" xfId="0" applyBorder="1"/>
    <xf numFmtId="0" fontId="0" fillId="12" borderId="1" xfId="0" applyFill="1" applyBorder="1"/>
  </cellXfs>
  <cellStyles count="1">
    <cellStyle name="Normal" xfId="0" builtinId="0"/>
  </cellStyles>
  <dxfs count="49">
    <dxf>
      <fill>
        <patternFill patternType="solid">
          <fgColor rgb="FFFFA94D"/>
        </patternFill>
      </fill>
    </dxf>
    <dxf>
      <fill>
        <patternFill patternType="solid">
          <fgColor rgb="FFDEE2E6"/>
        </patternFill>
      </fill>
    </dxf>
    <dxf>
      <fill>
        <patternFill patternType="solid">
          <fgColor rgb="FFFFD43B"/>
        </patternFill>
      </fill>
    </dxf>
    <dxf>
      <fill>
        <patternFill patternType="solid">
          <fgColor rgb="FF69DB7C"/>
        </patternFill>
      </fill>
    </dxf>
    <dxf>
      <fill>
        <patternFill patternType="solid">
          <fgColor rgb="FFFFA94D"/>
        </patternFill>
      </fill>
    </dxf>
    <dxf>
      <fill>
        <patternFill patternType="solid">
          <fgColor rgb="FFDEE2E6"/>
        </patternFill>
      </fill>
    </dxf>
    <dxf>
      <fill>
        <patternFill patternType="solid">
          <fgColor rgb="FFFFD43B"/>
        </patternFill>
      </fill>
    </dxf>
    <dxf>
      <fill>
        <patternFill patternType="solid">
          <fgColor rgb="FF69DB7C"/>
        </patternFill>
      </fill>
    </dxf>
    <dxf>
      <fill>
        <patternFill patternType="solid">
          <fgColor rgb="FFFFA94D"/>
        </patternFill>
      </fill>
    </dxf>
    <dxf>
      <fill>
        <patternFill patternType="solid">
          <fgColor rgb="FFDEE2E6"/>
        </patternFill>
      </fill>
    </dxf>
    <dxf>
      <fill>
        <patternFill patternType="solid">
          <fgColor rgb="FFFFD43B"/>
        </patternFill>
      </fill>
    </dxf>
    <dxf>
      <fill>
        <patternFill patternType="solid">
          <fgColor rgb="FF69DB7C"/>
        </patternFill>
      </fill>
    </dxf>
    <dxf>
      <fill>
        <patternFill patternType="solid">
          <fgColor rgb="FFFFA94D"/>
        </patternFill>
      </fill>
    </dxf>
    <dxf>
      <fill>
        <patternFill patternType="solid">
          <fgColor rgb="FFDEE2E6"/>
        </patternFill>
      </fill>
    </dxf>
    <dxf>
      <fill>
        <patternFill patternType="solid">
          <fgColor rgb="FFFFD43B"/>
        </patternFill>
      </fill>
    </dxf>
    <dxf>
      <fill>
        <patternFill patternType="solid">
          <fgColor rgb="FF69DB7C"/>
        </patternFill>
      </fill>
    </dxf>
    <dxf>
      <fill>
        <patternFill patternType="solid">
          <fgColor rgb="FFFFA94D"/>
        </patternFill>
      </fill>
    </dxf>
    <dxf>
      <fill>
        <patternFill patternType="solid">
          <fgColor rgb="FFDEE2E6"/>
        </patternFill>
      </fill>
    </dxf>
    <dxf>
      <fill>
        <patternFill patternType="solid">
          <fgColor rgb="FFFFD43B"/>
        </patternFill>
      </fill>
    </dxf>
    <dxf>
      <fill>
        <patternFill patternType="solid">
          <fgColor rgb="FF69DB7C"/>
        </patternFill>
      </fill>
    </dxf>
    <dxf>
      <fill>
        <patternFill patternType="solid">
          <fgColor rgb="FFB197FC"/>
        </patternFill>
      </fill>
    </dxf>
    <dxf>
      <fill>
        <patternFill patternType="solid">
          <fgColor rgb="FF69DB7C"/>
        </patternFill>
      </fill>
    </dxf>
    <dxf>
      <fill>
        <patternFill patternType="solid">
          <fgColor rgb="FFB197FC"/>
        </patternFill>
      </fill>
    </dxf>
    <dxf>
      <fill>
        <patternFill patternType="solid">
          <fgColor rgb="FFFFD8A8"/>
        </patternFill>
      </fill>
    </dxf>
    <dxf>
      <fill>
        <patternFill patternType="solid">
          <fgColor rgb="FF74C0FC"/>
        </patternFill>
      </fill>
    </dxf>
    <dxf>
      <fill>
        <patternFill>
          <bgColor rgb="FFDEE2E6"/>
        </patternFill>
      </fill>
    </dxf>
    <dxf>
      <fill>
        <patternFill>
          <bgColor rgb="FFFF6B6B"/>
        </patternFill>
      </fill>
    </dxf>
    <dxf>
      <fill>
        <patternFill>
          <bgColor rgb="FFFFE066"/>
        </patternFill>
      </fill>
    </dxf>
    <dxf>
      <fill>
        <patternFill>
          <bgColor rgb="FF69DB7C"/>
        </patternFill>
      </fill>
    </dxf>
    <dxf>
      <fill>
        <patternFill patternType="solid">
          <fgColor rgb="FF69DB7C"/>
        </patternFill>
      </fill>
    </dxf>
    <dxf>
      <fill>
        <patternFill patternType="solid">
          <fgColor rgb="FFFFA94D"/>
        </patternFill>
      </fill>
    </dxf>
    <dxf>
      <fill>
        <patternFill patternType="solid">
          <fgColor rgb="FFFF6B6B"/>
        </patternFill>
      </fill>
    </dxf>
    <dxf>
      <fill>
        <patternFill patternType="solid">
          <fgColor rgb="FFFF6B6B"/>
        </patternFill>
      </fill>
    </dxf>
    <dxf>
      <fill>
        <patternFill patternType="solid">
          <fgColor rgb="FF69DB7C"/>
        </patternFill>
      </fill>
    </dxf>
    <dxf>
      <fill>
        <patternFill>
          <bgColor rgb="FFFFA94D"/>
        </patternFill>
      </fill>
    </dxf>
    <dxf>
      <fill>
        <patternFill>
          <bgColor rgb="FFDEE2E6"/>
        </patternFill>
      </fill>
    </dxf>
    <dxf>
      <fill>
        <patternFill>
          <bgColor rgb="FFFFE066"/>
        </patternFill>
      </fill>
    </dxf>
    <dxf>
      <fill>
        <patternFill>
          <bgColor rgb="FF69DB7C"/>
        </patternFill>
      </fill>
    </dxf>
    <dxf>
      <fill>
        <patternFill patternType="solid">
          <fgColor rgb="FFFFA94D"/>
        </patternFill>
      </fill>
    </dxf>
    <dxf>
      <fill>
        <patternFill patternType="solid">
          <fgColor rgb="FFDEE2E6"/>
        </patternFill>
      </fill>
    </dxf>
    <dxf>
      <fill>
        <patternFill patternType="solid">
          <fgColor rgb="FFFFD43B"/>
        </patternFill>
      </fill>
    </dxf>
    <dxf>
      <fill>
        <patternFill patternType="solid">
          <fgColor rgb="FF69DB7C"/>
        </patternFill>
      </fill>
    </dxf>
    <dxf>
      <fill>
        <patternFill>
          <bgColor rgb="FFFFA94D"/>
        </patternFill>
      </fill>
    </dxf>
    <dxf>
      <fill>
        <patternFill>
          <bgColor rgb="FFFF6B6B"/>
        </patternFill>
      </fill>
    </dxf>
    <dxf>
      <fill>
        <patternFill>
          <bgColor rgb="FFFFE066"/>
        </patternFill>
      </fill>
    </dxf>
    <dxf>
      <fill>
        <patternFill>
          <bgColor rgb="FF69DB7C"/>
        </patternFill>
      </fill>
    </dxf>
    <dxf>
      <fill>
        <patternFill patternType="solid">
          <fgColor rgb="FFDEE2E6"/>
        </patternFill>
      </fill>
    </dxf>
    <dxf>
      <fill>
        <patternFill patternType="solid">
          <fgColor rgb="FFFFD43B"/>
        </patternFill>
      </fill>
    </dxf>
    <dxf>
      <fill>
        <patternFill patternType="solid">
          <fgColor rgb="FF69DB7C"/>
        </patternFill>
      </fill>
    </dxf>
  </dxfs>
  <tableStyles count="0" defaultTableStyle="TableStyleMedium2" defaultPivotStyle="PivotStyleLight16"/>
  <colors>
    <mruColors>
      <color rgb="FF339933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Task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Gantt!$P$4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Gantt!$O$5:$O$8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Done</c:v>
                </c:pt>
                <c:pt idx="3">
                  <c:v>Blocked</c:v>
                </c:pt>
              </c:strCache>
            </c:strRef>
          </c:cat>
          <c:val>
            <c:numRef>
              <c:f>Gantt!$P$5:$P$8</c:f>
              <c:numCache>
                <c:formatCode>General</c:formatCode>
                <c:ptCount val="4"/>
                <c:pt idx="0">
                  <c:v>7</c:v>
                </c:pt>
                <c:pt idx="1">
                  <c:v>1</c:v>
                </c:pt>
                <c:pt idx="2" formatCode="d\-mmm">
                  <c:v>12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B-4116-B6DF-47E65A31D1D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Checklist Completion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'Report Breakdown'!$P$22</c:f>
              <c:strCache>
                <c:ptCount val="1"/>
                <c:pt idx="0">
                  <c:v>% Complete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'Report Breakdown'!$O$23:$O$26</c:f>
              <c:strCache>
                <c:ptCount val="4"/>
                <c:pt idx="0">
                  <c:v>Electrical</c:v>
                </c:pt>
                <c:pt idx="1">
                  <c:v>Mechanical</c:v>
                </c:pt>
                <c:pt idx="2">
                  <c:v>User</c:v>
                </c:pt>
                <c:pt idx="3">
                  <c:v>Documentation</c:v>
                </c:pt>
              </c:strCache>
            </c:strRef>
          </c:cat>
          <c:val>
            <c:numRef>
              <c:f>'Report Breakdown'!$P$23:$P$26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D-4A3F-8CE8-567DA1F8E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Report Writing Progress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'Report Breakdown'!$P$9</c:f>
              <c:strCache>
                <c:ptCount val="1"/>
                <c:pt idx="0">
                  <c:v>Status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'Report Breakdown'!$O$10:$O$17</c:f>
              <c:strCache>
                <c:ptCount val="8"/>
                <c:pt idx="0">
                  <c:v>Power requirement (9 V or 12 V)</c:v>
                </c:pt>
                <c:pt idx="1">
                  <c:v>Base plate mounting</c:v>
                </c:pt>
                <c:pt idx="2">
                  <c:v>On/off switch and power LED</c:v>
                </c:pt>
                <c:pt idx="3">
                  <c:v>TL071 summing and filtering</c:v>
                </c:pt>
                <c:pt idx="4">
                  <c:v>OPA551 speaker driver</c:v>
                </c:pt>
                <c:pt idx="5">
                  <c:v>University provided components</c:v>
                </c:pt>
                <c:pt idx="6">
                  <c:v>Reuse and sustainability</c:v>
                </c:pt>
                <c:pt idx="7">
                  <c:v>Keep device after marking</c:v>
                </c:pt>
              </c:strCache>
            </c:strRef>
          </c:cat>
          <c:val>
            <c:numRef>
              <c:f>'Report Breakdown'!$P$10:$P$17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5-436A-831C-360164EB9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781050</xdr:colOff>
      <xdr:row>29</xdr:row>
      <xdr:rowOff>19050</xdr:rowOff>
    </xdr:from>
    <xdr:ext cx="4572000" cy="2762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27</xdr:row>
      <xdr:rowOff>0</xdr:rowOff>
    </xdr:from>
    <xdr:ext cx="432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476250</xdr:colOff>
      <xdr:row>37</xdr:row>
      <xdr:rowOff>107155</xdr:rowOff>
    </xdr:from>
    <xdr:ext cx="432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B13" sqref="B13"/>
    </sheetView>
  </sheetViews>
  <sheetFormatPr defaultRowHeight="15" x14ac:dyDescent="0.25"/>
  <cols>
    <col min="1" max="1" width="29.28515625" bestFit="1" customWidth="1"/>
    <col min="2" max="2" width="12.7109375" bestFit="1" customWidth="1"/>
    <col min="3" max="3" width="6.42578125" bestFit="1" customWidth="1"/>
    <col min="4" max="4" width="6.28515625" bestFit="1" customWidth="1"/>
    <col min="5" max="5" width="8.5703125" bestFit="1" customWidth="1"/>
    <col min="6" max="6" width="11.28515625" bestFit="1" customWidth="1"/>
    <col min="7" max="7" width="13.42578125" bestFit="1" customWidth="1"/>
    <col min="8" max="8" width="11.5703125" bestFit="1" customWidth="1"/>
  </cols>
  <sheetData>
    <row r="1" spans="1:14" ht="23.25" x14ac:dyDescent="0.3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x14ac:dyDescent="0.25">
      <c r="A2" s="55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x14ac:dyDescent="0.25">
      <c r="A3" s="54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5" spans="1:14" x14ac:dyDescent="0.25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 x14ac:dyDescent="0.25">
      <c r="F6" s="40" t="s">
        <v>4</v>
      </c>
      <c r="G6" s="40" t="s">
        <v>5</v>
      </c>
    </row>
    <row r="7" spans="1:14" x14ac:dyDescent="0.25">
      <c r="A7" s="1" t="s">
        <v>6</v>
      </c>
      <c r="B7" s="2">
        <f>IFERROR(Gantt!$N$4,0)</f>
        <v>0.51754385964912286</v>
      </c>
      <c r="F7" s="40" t="s">
        <v>7</v>
      </c>
      <c r="G7" s="40">
        <f>COUNTIF(Gantt!$I$9:$I$200,"Not Started")</f>
        <v>7</v>
      </c>
    </row>
    <row r="8" spans="1:14" x14ac:dyDescent="0.25">
      <c r="A8" s="1" t="s">
        <v>8</v>
      </c>
      <c r="B8" s="3">
        <f ca="1">MAX(0,DATE(2026,2,13)-TODAY())</f>
        <v>4</v>
      </c>
      <c r="F8" t="s">
        <v>9</v>
      </c>
      <c r="G8">
        <f>COUNTIF(Gantt!$I$9:$I$200,"In Progress")</f>
        <v>1</v>
      </c>
    </row>
    <row r="9" spans="1:14" x14ac:dyDescent="0.25">
      <c r="A9" s="1" t="s">
        <v>10</v>
      </c>
      <c r="B9" s="3">
        <f>Gantt!$N$5</f>
        <v>12</v>
      </c>
      <c r="F9" t="s">
        <v>11</v>
      </c>
      <c r="G9">
        <f>COUNTIF(Gantt!$I$9:$I$200,"Done")</f>
        <v>12</v>
      </c>
    </row>
    <row r="10" spans="1:14" x14ac:dyDescent="0.25">
      <c r="F10" t="s">
        <v>12</v>
      </c>
      <c r="G10">
        <f>COUNTIF(Gantt!$I$9:$I$200,"Blocked")</f>
        <v>0</v>
      </c>
    </row>
    <row r="11" spans="1:14" x14ac:dyDescent="0.25">
      <c r="A11" s="50" t="s">
        <v>13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45" x14ac:dyDescent="0.25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</row>
    <row r="13" spans="1:14" ht="45" x14ac:dyDescent="0.25">
      <c r="A13" s="5" t="s">
        <v>19</v>
      </c>
      <c r="B13" s="6"/>
      <c r="C13" s="5" t="s">
        <v>356</v>
      </c>
      <c r="D13" s="5"/>
      <c r="E13" s="41">
        <v>1</v>
      </c>
    </row>
    <row r="14" spans="1:14" x14ac:dyDescent="0.25">
      <c r="A14" s="5" t="s">
        <v>20</v>
      </c>
      <c r="B14" s="6"/>
      <c r="C14" s="5"/>
      <c r="D14" s="5"/>
      <c r="E14" s="41">
        <f t="shared" ref="E13:E19" si="0">IF($C14="Done",1,IF($C14="In Progress",0.5,0))</f>
        <v>0</v>
      </c>
    </row>
    <row r="15" spans="1:14" x14ac:dyDescent="0.25">
      <c r="A15" s="5" t="s">
        <v>21</v>
      </c>
      <c r="B15" s="6"/>
      <c r="C15" s="5"/>
      <c r="D15" s="5"/>
      <c r="E15" s="41">
        <f t="shared" si="0"/>
        <v>0</v>
      </c>
    </row>
    <row r="16" spans="1:14" x14ac:dyDescent="0.25">
      <c r="A16" s="5" t="s">
        <v>22</v>
      </c>
      <c r="B16" s="6"/>
      <c r="C16" s="5"/>
      <c r="D16" s="5"/>
      <c r="E16" s="41">
        <f t="shared" si="0"/>
        <v>0</v>
      </c>
    </row>
    <row r="17" spans="1:8" x14ac:dyDescent="0.25">
      <c r="A17" s="5" t="s">
        <v>23</v>
      </c>
      <c r="B17" s="6"/>
      <c r="C17" s="5"/>
      <c r="D17" s="5"/>
      <c r="E17" s="41">
        <f t="shared" si="0"/>
        <v>0</v>
      </c>
    </row>
    <row r="18" spans="1:8" x14ac:dyDescent="0.25">
      <c r="A18" s="5" t="s">
        <v>24</v>
      </c>
      <c r="B18" s="6"/>
      <c r="C18" s="5"/>
      <c r="D18" s="5"/>
      <c r="E18" s="41">
        <f t="shared" si="0"/>
        <v>0</v>
      </c>
    </row>
    <row r="19" spans="1:8" x14ac:dyDescent="0.25">
      <c r="A19" s="5" t="s">
        <v>25</v>
      </c>
      <c r="B19" s="6"/>
      <c r="C19" s="5"/>
      <c r="D19" s="5"/>
      <c r="E19" s="41">
        <f t="shared" si="0"/>
        <v>0</v>
      </c>
    </row>
    <row r="20" spans="1:8" x14ac:dyDescent="0.25">
      <c r="F20" s="40" t="s">
        <v>26</v>
      </c>
      <c r="G20" s="40" t="s">
        <v>27</v>
      </c>
      <c r="H20" s="40" t="s">
        <v>28</v>
      </c>
    </row>
    <row r="21" spans="1:8" ht="20.100000000000001" customHeight="1" x14ac:dyDescent="0.25">
      <c r="A21" s="56" t="s">
        <v>29</v>
      </c>
      <c r="B21" s="48"/>
      <c r="C21" s="48"/>
      <c r="D21" s="48"/>
      <c r="F21" s="42">
        <v>46041</v>
      </c>
      <c r="G21">
        <f>COUNTIFS(Gantt!$F$9:$F$200,"&lt;="&amp;F21,Gantt!$A$9:$A$200,"&lt;&gt;")</f>
        <v>1</v>
      </c>
      <c r="H21">
        <f>COUNTIFS(Gantt!$F$9:$F$200,"&lt;="&amp;F21,Gantt!$I$9:$I$200,"Done")</f>
        <v>1</v>
      </c>
    </row>
    <row r="22" spans="1:8" ht="30" customHeight="1" x14ac:dyDescent="0.25">
      <c r="A22" s="49" t="s">
        <v>30</v>
      </c>
      <c r="B22" s="48"/>
      <c r="C22" s="48"/>
      <c r="D22" s="48"/>
      <c r="F22" s="42">
        <v>46042</v>
      </c>
      <c r="G22">
        <f>COUNTIFS(Gantt!$F$9:$F$200,"&lt;="&amp;F22,Gantt!$A$9:$A$200,"&lt;&gt;")</f>
        <v>2</v>
      </c>
      <c r="H22">
        <f>COUNTIFS(Gantt!$F$9:$F$200,"&lt;="&amp;F22,Gantt!$I$9:$I$200,"Done")</f>
        <v>2</v>
      </c>
    </row>
    <row r="23" spans="1:8" ht="30" customHeight="1" x14ac:dyDescent="0.25">
      <c r="A23" s="49" t="s">
        <v>31</v>
      </c>
      <c r="B23" s="48"/>
      <c r="C23" s="48"/>
      <c r="D23" s="48"/>
      <c r="F23" s="42">
        <v>46043</v>
      </c>
      <c r="G23">
        <f>COUNTIFS(Gantt!$F$9:$F$200,"&lt;="&amp;F23,Gantt!$A$9:$A$200,"&lt;&gt;")</f>
        <v>3</v>
      </c>
      <c r="H23">
        <f>COUNTIFS(Gantt!$F$9:$F$200,"&lt;="&amp;F23,Gantt!$I$9:$I$200,"Done")</f>
        <v>3</v>
      </c>
    </row>
    <row r="24" spans="1:8" ht="30" customHeight="1" x14ac:dyDescent="0.25">
      <c r="A24" s="49" t="s">
        <v>32</v>
      </c>
      <c r="B24" s="48"/>
      <c r="C24" s="48"/>
      <c r="D24" s="48"/>
      <c r="F24" s="42">
        <v>46048</v>
      </c>
      <c r="G24">
        <f>COUNTIFS(Gantt!$F$9:$F$200,"&lt;="&amp;F24,Gantt!$A$9:$A$200,"&lt;&gt;")</f>
        <v>4</v>
      </c>
      <c r="H24">
        <f>COUNTIFS(Gantt!$F$9:$F$200,"&lt;="&amp;F24,Gantt!$I$9:$I$200,"Done")</f>
        <v>4</v>
      </c>
    </row>
    <row r="25" spans="1:8" ht="30" customHeight="1" x14ac:dyDescent="0.25">
      <c r="A25" s="49" t="s">
        <v>33</v>
      </c>
      <c r="B25" s="48"/>
      <c r="C25" s="48"/>
      <c r="D25" s="48"/>
      <c r="F25" s="42">
        <v>46049</v>
      </c>
      <c r="G25">
        <f>COUNTIFS(Gantt!$F$9:$F$200,"&lt;="&amp;F25,Gantt!$A$9:$A$200,"&lt;&gt;")</f>
        <v>6</v>
      </c>
      <c r="H25">
        <f>COUNTIFS(Gantt!$F$9:$F$200,"&lt;="&amp;F25,Gantt!$I$9:$I$200,"Done")</f>
        <v>6</v>
      </c>
    </row>
    <row r="26" spans="1:8" ht="30" customHeight="1" x14ac:dyDescent="0.25">
      <c r="A26" s="49" t="s">
        <v>34</v>
      </c>
      <c r="B26" s="48"/>
      <c r="C26" s="48"/>
      <c r="D26" s="48"/>
      <c r="F26" s="42">
        <v>46050</v>
      </c>
      <c r="G26">
        <f>COUNTIFS(Gantt!$F$9:$F$200,"&lt;="&amp;F26,Gantt!$A$9:$A$200,"&lt;&gt;")</f>
        <v>6</v>
      </c>
      <c r="H26">
        <f>COUNTIFS(Gantt!$F$9:$F$200,"&lt;="&amp;F26,Gantt!$I$9:$I$200,"Done")</f>
        <v>6</v>
      </c>
    </row>
    <row r="27" spans="1:8" x14ac:dyDescent="0.25">
      <c r="F27" s="42">
        <v>46051</v>
      </c>
      <c r="G27">
        <f>COUNTIFS(Gantt!$F$9:$F$200,"&lt;="&amp;F27,Gantt!$A$9:$A$200,"&lt;&gt;")</f>
        <v>6</v>
      </c>
      <c r="H27">
        <f>COUNTIFS(Gantt!$F$9:$F$200,"&lt;="&amp;F27,Gantt!$I$9:$I$200,"Done")</f>
        <v>6</v>
      </c>
    </row>
    <row r="28" spans="1:8" x14ac:dyDescent="0.25">
      <c r="F28" s="42">
        <v>46052</v>
      </c>
      <c r="G28">
        <f>COUNTIFS(Gantt!$F$9:$F$200,"&lt;="&amp;F28,Gantt!$A$9:$A$200,"&lt;&gt;")</f>
        <v>7</v>
      </c>
      <c r="H28">
        <f>COUNTIFS(Gantt!$F$9:$F$200,"&lt;="&amp;F28,Gantt!$I$9:$I$200,"Done")</f>
        <v>7</v>
      </c>
    </row>
    <row r="29" spans="1:8" x14ac:dyDescent="0.25">
      <c r="F29" s="42">
        <v>46055</v>
      </c>
      <c r="G29">
        <f>COUNTIFS(Gantt!$F$9:$F$200,"&lt;="&amp;F29,Gantt!$A$9:$A$200,"&lt;&gt;")</f>
        <v>8</v>
      </c>
      <c r="H29">
        <f>COUNTIFS(Gantt!$F$9:$F$200,"&lt;="&amp;F29,Gantt!$I$9:$I$200,"Done")</f>
        <v>8</v>
      </c>
    </row>
    <row r="30" spans="1:8" x14ac:dyDescent="0.25">
      <c r="F30" s="42">
        <v>46056</v>
      </c>
      <c r="G30">
        <f>COUNTIFS(Gantt!$F$9:$F$200,"&lt;="&amp;F30,Gantt!$A$9:$A$200,"&lt;&gt;")</f>
        <v>8</v>
      </c>
      <c r="H30">
        <f>COUNTIFS(Gantt!$F$9:$F$200,"&lt;="&amp;F30,Gantt!$I$9:$I$200,"Done")</f>
        <v>8</v>
      </c>
    </row>
    <row r="31" spans="1:8" x14ac:dyDescent="0.25">
      <c r="F31" s="42">
        <v>46057</v>
      </c>
      <c r="G31">
        <f>COUNTIFS(Gantt!$F$9:$F$200,"&lt;="&amp;F31,Gantt!$A$9:$A$200,"&lt;&gt;")</f>
        <v>9</v>
      </c>
      <c r="H31">
        <f>COUNTIFS(Gantt!$F$9:$F$200,"&lt;="&amp;F31,Gantt!$I$9:$I$200,"Done")</f>
        <v>9</v>
      </c>
    </row>
    <row r="32" spans="1:8" x14ac:dyDescent="0.25">
      <c r="F32" s="42">
        <v>46058</v>
      </c>
      <c r="G32">
        <f>COUNTIFS(Gantt!$F$9:$F$200,"&lt;="&amp;F32,Gantt!$A$9:$A$200,"&lt;&gt;")</f>
        <v>9</v>
      </c>
      <c r="H32">
        <f>COUNTIFS(Gantt!$F$9:$F$200,"&lt;="&amp;F32,Gantt!$I$9:$I$200,"Done")</f>
        <v>9</v>
      </c>
    </row>
    <row r="33" spans="6:8" x14ac:dyDescent="0.25">
      <c r="F33" s="43" t="s">
        <v>35</v>
      </c>
      <c r="G33" s="40" t="s">
        <v>5</v>
      </c>
      <c r="H33">
        <f>COUNTIFS(Gantt!$F$9:$F$200,"&lt;="&amp;F33,Gantt!$I$9:$I$200,"Done")</f>
        <v>0</v>
      </c>
    </row>
    <row r="34" spans="6:8" x14ac:dyDescent="0.25">
      <c r="F34" s="42" t="s">
        <v>36</v>
      </c>
      <c r="G34">
        <f>COUNTIF(BOM!$K$8:$K$200,"To Get")</f>
        <v>13</v>
      </c>
      <c r="H34">
        <f>COUNTIFS(Gantt!$F$9:$F$200,"&lt;="&amp;F34,Gantt!$I$9:$I$200,"Done")</f>
        <v>0</v>
      </c>
    </row>
    <row r="35" spans="6:8" x14ac:dyDescent="0.25">
      <c r="F35" s="42" t="s">
        <v>37</v>
      </c>
      <c r="G35">
        <f>COUNTIF(BOM!$K$8:$K$200,"To Buy")</f>
        <v>9</v>
      </c>
      <c r="H35">
        <f>COUNTIFS(Gantt!$F$9:$F$200,"&lt;="&amp;F35,Gantt!$I$9:$I$200,"Done")</f>
        <v>0</v>
      </c>
    </row>
    <row r="36" spans="6:8" x14ac:dyDescent="0.25">
      <c r="F36" s="42" t="s">
        <v>38</v>
      </c>
      <c r="G36">
        <f>COUNTIF(BOM!$K$8:$K$200,"Ordered")</f>
        <v>0</v>
      </c>
      <c r="H36">
        <f>COUNTIFS(Gantt!$F$9:$F$200,"&lt;="&amp;F36,Gantt!$I$9:$I$200,"Done")</f>
        <v>0</v>
      </c>
    </row>
    <row r="37" spans="6:8" x14ac:dyDescent="0.25">
      <c r="F37" s="42" t="s">
        <v>39</v>
      </c>
      <c r="G37">
        <f>COUNTIF(BOM!$K$8:$K$200,"Received")</f>
        <v>0</v>
      </c>
      <c r="H37">
        <f>COUNTIFS(Gantt!$F$9:$F$200,"&lt;="&amp;F37,Gantt!$I$9:$I$200,"Done")</f>
        <v>0</v>
      </c>
    </row>
    <row r="38" spans="6:8" x14ac:dyDescent="0.25">
      <c r="F38" s="42" t="s">
        <v>40</v>
      </c>
      <c r="G38">
        <f>COUNTIF(BOM!$K$8:$K$200,"Optional")</f>
        <v>5</v>
      </c>
      <c r="H38">
        <f>COUNTIFS(Gantt!$F$9:$F$200,"&lt;="&amp;F38,Gantt!$I$9:$I$200,"Done")</f>
        <v>0</v>
      </c>
    </row>
  </sheetData>
  <mergeCells count="11">
    <mergeCell ref="A1:N1"/>
    <mergeCell ref="A26:D26"/>
    <mergeCell ref="A25:D25"/>
    <mergeCell ref="A11:N11"/>
    <mergeCell ref="A24:D24"/>
    <mergeCell ref="A5:N5"/>
    <mergeCell ref="A23:D23"/>
    <mergeCell ref="A3:N3"/>
    <mergeCell ref="A22:D22"/>
    <mergeCell ref="A2:N2"/>
    <mergeCell ref="A21:D21"/>
  </mergeCells>
  <conditionalFormatting sqref="B7">
    <cfRule type="dataBar" priority="5">
      <dataBar>
        <cfvo type="num" val="0"/>
        <cfvo type="num" val="1"/>
        <color rgb="FF69DB7C"/>
      </dataBar>
    </cfRule>
  </conditionalFormatting>
  <conditionalFormatting sqref="C13:C19">
    <cfRule type="expression" dxfId="48" priority="1" stopIfTrue="1">
      <formula>C13="Done"</formula>
    </cfRule>
    <cfRule type="expression" dxfId="47" priority="2" stopIfTrue="1">
      <formula>C13="In Progress"</formula>
    </cfRule>
    <cfRule type="expression" dxfId="46" priority="3" stopIfTrue="1">
      <formula>C13="Not Started"</formula>
    </cfRule>
  </conditionalFormatting>
  <conditionalFormatting sqref="E13:E19">
    <cfRule type="dataBar" priority="4">
      <dataBar>
        <cfvo type="num" val="0"/>
        <cfvo type="num" val="1"/>
        <color rgb="FF4DABF7"/>
      </dataBar>
    </cfRule>
  </conditionalFormatting>
  <dataValidations count="2">
    <dataValidation type="list" allowBlank="1" showDropDown="1" sqref="C13:C19" xr:uid="{00000000-0002-0000-0000-000000000000}">
      <formula1>"Not Started,In Progress,Done"</formula1>
    </dataValidation>
    <dataValidation type="decimal" allowBlank="1" sqref="E13:E19" xr:uid="{00000000-0002-0000-0000-000001000000}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topLeftCell="A12" workbookViewId="0">
      <selection activeCell="O22" sqref="O22"/>
    </sheetView>
  </sheetViews>
  <sheetFormatPr defaultRowHeight="15" x14ac:dyDescent="0.25"/>
  <cols>
    <col min="1" max="1" width="4.7109375" bestFit="1" customWidth="1"/>
    <col min="2" max="2" width="37.7109375" bestFit="1" customWidth="1"/>
    <col min="3" max="3" width="14.42578125" bestFit="1" customWidth="1"/>
    <col min="4" max="4" width="7" bestFit="1" customWidth="1"/>
    <col min="5" max="6" width="9.7109375" bestFit="1" customWidth="1"/>
    <col min="7" max="7" width="8.7109375" bestFit="1" customWidth="1"/>
    <col min="8" max="8" width="20.85546875" bestFit="1" customWidth="1"/>
    <col min="9" max="9" width="11.140625" bestFit="1" customWidth="1"/>
    <col min="10" max="10" width="13.85546875" bestFit="1" customWidth="1"/>
    <col min="11" max="11" width="27.85546875" bestFit="1" customWidth="1"/>
    <col min="12" max="14" width="5.5703125" bestFit="1" customWidth="1"/>
    <col min="15" max="15" width="11.140625" bestFit="1" customWidth="1"/>
    <col min="16" max="16" width="6.28515625" bestFit="1" customWidth="1"/>
    <col min="17" max="21" width="5.5703125" bestFit="1" customWidth="1"/>
    <col min="22" max="36" width="5.85546875" bestFit="1" customWidth="1"/>
  </cols>
  <sheetData>
    <row r="1" spans="1:36" ht="23.25" x14ac:dyDescent="0.35">
      <c r="A1" s="47" t="s">
        <v>41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 spans="1:36" x14ac:dyDescent="0.25">
      <c r="A2" s="55" t="s">
        <v>42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</row>
    <row r="3" spans="1:36" x14ac:dyDescent="0.25">
      <c r="A3" s="54" t="s">
        <v>43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</row>
    <row r="4" spans="1:36" x14ac:dyDescent="0.25">
      <c r="B4" s="58" t="s">
        <v>44</v>
      </c>
      <c r="C4" s="58"/>
      <c r="D4" s="58"/>
      <c r="E4" s="58"/>
      <c r="F4" s="58"/>
      <c r="G4" s="58"/>
      <c r="H4" s="58"/>
      <c r="I4" s="58"/>
      <c r="J4" s="58"/>
      <c r="K4" s="58"/>
      <c r="L4" s="59"/>
      <c r="M4" s="8">
        <f>IFERROR(SUMPRODUCT($G$9:$G$200,$H$9:$H$200)/SUM($G$9:$G$200),0)</f>
        <v>0.51754385964912286</v>
      </c>
      <c r="N4">
        <f>M4</f>
        <v>0.51754385964912286</v>
      </c>
      <c r="O4" s="40" t="s">
        <v>16</v>
      </c>
      <c r="P4" s="40" t="s">
        <v>5</v>
      </c>
    </row>
    <row r="5" spans="1:36" ht="45" x14ac:dyDescent="0.25">
      <c r="A5" s="57" t="s">
        <v>45</v>
      </c>
      <c r="B5" s="52"/>
      <c r="C5" s="52"/>
      <c r="D5" s="52"/>
      <c r="E5" s="52"/>
      <c r="F5" s="52"/>
      <c r="G5" s="52"/>
      <c r="H5" s="52"/>
      <c r="I5" s="52"/>
      <c r="J5" s="52"/>
      <c r="K5" s="53"/>
      <c r="L5" s="7" t="s">
        <v>46</v>
      </c>
      <c r="M5" s="9">
        <f>COUNTIF($I$9:$I$200,"Done")</f>
        <v>12</v>
      </c>
      <c r="N5">
        <f>M5</f>
        <v>12</v>
      </c>
      <c r="O5" t="s">
        <v>7</v>
      </c>
      <c r="P5">
        <f>COUNTIF($I$9:$I$200,"Not Started")</f>
        <v>7</v>
      </c>
    </row>
    <row r="6" spans="1:36" x14ac:dyDescent="0.25">
      <c r="O6" t="s">
        <v>9</v>
      </c>
      <c r="P6">
        <f>COUNTIF($I$9:$I$200,"In Progress")</f>
        <v>1</v>
      </c>
    </row>
    <row r="7" spans="1:36" ht="30" x14ac:dyDescent="0.25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 t="s">
        <v>18</v>
      </c>
      <c r="I7" s="4" t="s">
        <v>16</v>
      </c>
      <c r="J7" s="4" t="s">
        <v>54</v>
      </c>
      <c r="K7" s="4" t="s">
        <v>17</v>
      </c>
      <c r="L7" s="10">
        <v>46041</v>
      </c>
      <c r="M7" s="10">
        <v>46042</v>
      </c>
      <c r="N7" s="10">
        <v>46043</v>
      </c>
      <c r="O7" s="10" t="s">
        <v>11</v>
      </c>
      <c r="P7" s="10">
        <f>COUNTIF($I$9:$I$200,"Done")</f>
        <v>12</v>
      </c>
      <c r="Q7" s="10">
        <v>46048</v>
      </c>
      <c r="R7" s="10">
        <v>46049</v>
      </c>
      <c r="S7" s="10">
        <v>46050</v>
      </c>
      <c r="T7" s="10">
        <v>46051</v>
      </c>
      <c r="U7" s="10">
        <v>46052</v>
      </c>
      <c r="V7" s="10">
        <v>46055</v>
      </c>
      <c r="W7" s="10">
        <v>46056</v>
      </c>
      <c r="X7" s="10">
        <v>46057</v>
      </c>
      <c r="Y7" s="10">
        <v>46058</v>
      </c>
      <c r="Z7" s="10">
        <v>46059</v>
      </c>
      <c r="AA7" s="10">
        <v>46062</v>
      </c>
      <c r="AB7" s="10">
        <v>46063</v>
      </c>
      <c r="AC7" s="10">
        <v>46064</v>
      </c>
      <c r="AD7" s="10">
        <v>46065</v>
      </c>
      <c r="AE7" s="10">
        <v>46066</v>
      </c>
      <c r="AF7" s="10">
        <v>46069</v>
      </c>
      <c r="AG7" s="10">
        <v>46070</v>
      </c>
      <c r="AH7" s="10">
        <v>46071</v>
      </c>
      <c r="AI7" s="10">
        <v>46072</v>
      </c>
      <c r="AJ7" s="10">
        <v>46073</v>
      </c>
    </row>
    <row r="8" spans="1:36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2" t="s">
        <v>55</v>
      </c>
      <c r="M8" s="12" t="s">
        <v>56</v>
      </c>
      <c r="N8" s="12" t="s">
        <v>57</v>
      </c>
      <c r="O8" s="12" t="s">
        <v>12</v>
      </c>
      <c r="P8" s="12">
        <f>COUNTIF($I$9:$I$200,"Blocked")</f>
        <v>0</v>
      </c>
      <c r="Q8" s="12" t="s">
        <v>55</v>
      </c>
      <c r="R8" s="12" t="s">
        <v>56</v>
      </c>
      <c r="S8" s="12" t="s">
        <v>57</v>
      </c>
      <c r="T8" s="12" t="s">
        <v>58</v>
      </c>
      <c r="U8" s="12" t="s">
        <v>59</v>
      </c>
      <c r="V8" s="12" t="s">
        <v>55</v>
      </c>
      <c r="W8" s="12" t="s">
        <v>56</v>
      </c>
      <c r="X8" s="12" t="s">
        <v>57</v>
      </c>
      <c r="Y8" s="12" t="s">
        <v>58</v>
      </c>
      <c r="Z8" s="12" t="s">
        <v>59</v>
      </c>
      <c r="AA8" s="12" t="s">
        <v>55</v>
      </c>
      <c r="AB8" s="12" t="s">
        <v>56</v>
      </c>
      <c r="AC8" s="12" t="s">
        <v>57</v>
      </c>
      <c r="AD8" s="12" t="s">
        <v>58</v>
      </c>
      <c r="AE8" s="12" t="s">
        <v>59</v>
      </c>
      <c r="AF8" s="12" t="s">
        <v>55</v>
      </c>
      <c r="AG8" s="12" t="s">
        <v>56</v>
      </c>
      <c r="AH8" s="12" t="s">
        <v>57</v>
      </c>
      <c r="AI8" s="12" t="s">
        <v>58</v>
      </c>
      <c r="AJ8" s="12" t="s">
        <v>59</v>
      </c>
    </row>
    <row r="9" spans="1:36" x14ac:dyDescent="0.25">
      <c r="A9" s="13" t="s">
        <v>60</v>
      </c>
      <c r="B9" s="13" t="s">
        <v>61</v>
      </c>
      <c r="C9" s="13" t="s">
        <v>62</v>
      </c>
      <c r="D9" s="13" t="s">
        <v>63</v>
      </c>
      <c r="E9" s="14">
        <v>46041</v>
      </c>
      <c r="F9" s="14">
        <v>46041</v>
      </c>
      <c r="G9" s="13">
        <f t="shared" ref="G9:G28" si="0">IF(AND(E9&lt;&gt;"",F9&lt;&gt;""),NETWORKDAYS(E9,F9),"")</f>
        <v>1</v>
      </c>
      <c r="H9" s="15">
        <v>1</v>
      </c>
      <c r="I9" s="13" t="s">
        <v>11</v>
      </c>
      <c r="J9" s="13"/>
      <c r="K9" s="13" t="s">
        <v>64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 spans="1:36" ht="30" x14ac:dyDescent="0.25">
      <c r="A10" s="13" t="s">
        <v>65</v>
      </c>
      <c r="B10" s="13" t="s">
        <v>66</v>
      </c>
      <c r="C10" s="13" t="s">
        <v>62</v>
      </c>
      <c r="D10" s="13" t="s">
        <v>63</v>
      </c>
      <c r="E10" s="14">
        <v>46041</v>
      </c>
      <c r="F10" s="14">
        <v>46042</v>
      </c>
      <c r="G10" s="13">
        <f t="shared" si="0"/>
        <v>2</v>
      </c>
      <c r="H10" s="15">
        <v>1</v>
      </c>
      <c r="I10" s="13" t="s">
        <v>11</v>
      </c>
      <c r="J10" s="13"/>
      <c r="K10" s="13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</row>
    <row r="11" spans="1:36" ht="30" x14ac:dyDescent="0.25">
      <c r="A11" s="13" t="s">
        <v>67</v>
      </c>
      <c r="B11" s="13" t="s">
        <v>68</v>
      </c>
      <c r="C11" s="13" t="s">
        <v>69</v>
      </c>
      <c r="D11" s="13" t="s">
        <v>63</v>
      </c>
      <c r="E11" s="14">
        <v>46042</v>
      </c>
      <c r="F11" s="14">
        <v>46043</v>
      </c>
      <c r="G11" s="13">
        <f t="shared" si="0"/>
        <v>2</v>
      </c>
      <c r="H11" s="15">
        <v>1</v>
      </c>
      <c r="I11" s="13" t="s">
        <v>11</v>
      </c>
      <c r="J11" s="13"/>
      <c r="K11" s="13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</row>
    <row r="12" spans="1:36" ht="30" x14ac:dyDescent="0.25">
      <c r="A12" s="13" t="s">
        <v>70</v>
      </c>
      <c r="B12" s="13" t="s">
        <v>71</v>
      </c>
      <c r="C12" s="13" t="s">
        <v>72</v>
      </c>
      <c r="D12" s="13" t="s">
        <v>63</v>
      </c>
      <c r="E12" s="14">
        <v>46043</v>
      </c>
      <c r="F12" s="14">
        <v>46045</v>
      </c>
      <c r="G12" s="13">
        <f t="shared" si="0"/>
        <v>3</v>
      </c>
      <c r="H12" s="15">
        <v>1</v>
      </c>
      <c r="I12" s="13" t="s">
        <v>11</v>
      </c>
      <c r="J12" s="13" t="s">
        <v>67</v>
      </c>
      <c r="K12" s="13" t="s">
        <v>73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</row>
    <row r="13" spans="1:36" ht="30" x14ac:dyDescent="0.25">
      <c r="A13" s="13" t="s">
        <v>74</v>
      </c>
      <c r="B13" s="13" t="s">
        <v>75</v>
      </c>
      <c r="C13" s="13" t="s">
        <v>76</v>
      </c>
      <c r="D13" s="13" t="s">
        <v>63</v>
      </c>
      <c r="E13" s="14">
        <v>46045</v>
      </c>
      <c r="F13" s="14">
        <v>46049</v>
      </c>
      <c r="G13" s="13">
        <f t="shared" si="0"/>
        <v>3</v>
      </c>
      <c r="H13" s="15">
        <v>1</v>
      </c>
      <c r="I13" s="13" t="s">
        <v>11</v>
      </c>
      <c r="J13" s="13" t="s">
        <v>70</v>
      </c>
      <c r="K13" s="13" t="s">
        <v>77</v>
      </c>
      <c r="L13" s="16"/>
      <c r="M13" s="16"/>
      <c r="N13" s="16"/>
      <c r="O13" s="68"/>
      <c r="P13" s="68"/>
      <c r="Q13" s="4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</row>
    <row r="14" spans="1:36" x14ac:dyDescent="0.25">
      <c r="A14" s="13" t="s">
        <v>78</v>
      </c>
      <c r="B14" s="13" t="s">
        <v>79</v>
      </c>
      <c r="C14" s="13" t="s">
        <v>80</v>
      </c>
      <c r="D14" s="13" t="s">
        <v>63</v>
      </c>
      <c r="E14" s="14">
        <v>46049</v>
      </c>
      <c r="F14" s="14">
        <v>46049</v>
      </c>
      <c r="G14" s="13">
        <f t="shared" si="0"/>
        <v>1</v>
      </c>
      <c r="H14" s="15">
        <v>1</v>
      </c>
      <c r="I14" s="13" t="s">
        <v>11</v>
      </c>
      <c r="J14" s="13" t="s">
        <v>74</v>
      </c>
      <c r="K14" s="13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</row>
    <row r="15" spans="1:36" ht="30" x14ac:dyDescent="0.25">
      <c r="A15" s="13" t="s">
        <v>81</v>
      </c>
      <c r="B15" s="13" t="s">
        <v>82</v>
      </c>
      <c r="C15" s="13" t="s">
        <v>83</v>
      </c>
      <c r="D15" s="13" t="s">
        <v>63</v>
      </c>
      <c r="E15" s="14">
        <v>46050</v>
      </c>
      <c r="F15" s="14">
        <v>46052</v>
      </c>
      <c r="G15" s="13">
        <f t="shared" si="0"/>
        <v>3</v>
      </c>
      <c r="H15" s="15">
        <v>1</v>
      </c>
      <c r="I15" s="13" t="s">
        <v>11</v>
      </c>
      <c r="J15" s="13" t="s">
        <v>78</v>
      </c>
      <c r="K15" s="13" t="s">
        <v>84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</row>
    <row r="16" spans="1:36" ht="30" x14ac:dyDescent="0.25">
      <c r="A16" s="13" t="s">
        <v>85</v>
      </c>
      <c r="B16" s="13" t="s">
        <v>86</v>
      </c>
      <c r="C16" s="13" t="s">
        <v>72</v>
      </c>
      <c r="D16" s="13" t="s">
        <v>63</v>
      </c>
      <c r="E16" s="14">
        <v>46052</v>
      </c>
      <c r="F16" s="14">
        <v>46055</v>
      </c>
      <c r="G16" s="13">
        <f t="shared" si="0"/>
        <v>2</v>
      </c>
      <c r="H16" s="15">
        <v>1</v>
      </c>
      <c r="I16" s="13" t="s">
        <v>11</v>
      </c>
      <c r="J16" s="13" t="s">
        <v>81</v>
      </c>
      <c r="K16" s="13" t="s">
        <v>87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</row>
    <row r="17" spans="1:36" ht="30" x14ac:dyDescent="0.25">
      <c r="A17" s="13" t="s">
        <v>88</v>
      </c>
      <c r="B17" s="13" t="s">
        <v>89</v>
      </c>
      <c r="C17" s="13" t="s">
        <v>76</v>
      </c>
      <c r="D17" s="13" t="s">
        <v>63</v>
      </c>
      <c r="E17" s="14">
        <v>46055</v>
      </c>
      <c r="F17" s="14">
        <v>46057</v>
      </c>
      <c r="G17" s="13">
        <f t="shared" si="0"/>
        <v>3</v>
      </c>
      <c r="H17" s="15">
        <v>1</v>
      </c>
      <c r="I17" s="13" t="s">
        <v>11</v>
      </c>
      <c r="J17" s="13" t="s">
        <v>85</v>
      </c>
      <c r="K17" s="13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</row>
    <row r="18" spans="1:36" ht="30" x14ac:dyDescent="0.25">
      <c r="A18" s="13" t="s">
        <v>90</v>
      </c>
      <c r="B18" s="13" t="s">
        <v>91</v>
      </c>
      <c r="C18" s="13" t="s">
        <v>83</v>
      </c>
      <c r="D18" s="13" t="s">
        <v>63</v>
      </c>
      <c r="E18" s="14">
        <v>46057</v>
      </c>
      <c r="F18" s="14">
        <v>46059</v>
      </c>
      <c r="G18" s="13">
        <f t="shared" si="0"/>
        <v>3</v>
      </c>
      <c r="H18" s="15">
        <v>1</v>
      </c>
      <c r="I18" s="13" t="s">
        <v>11</v>
      </c>
      <c r="J18" s="13" t="s">
        <v>88</v>
      </c>
      <c r="K18" s="13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19" spans="1:36" ht="45" x14ac:dyDescent="0.25">
      <c r="A19" s="13" t="s">
        <v>92</v>
      </c>
      <c r="B19" s="13" t="s">
        <v>93</v>
      </c>
      <c r="C19" s="13" t="s">
        <v>94</v>
      </c>
      <c r="D19" s="13" t="s">
        <v>63</v>
      </c>
      <c r="E19" s="14">
        <v>46057</v>
      </c>
      <c r="F19" s="14">
        <v>46059</v>
      </c>
      <c r="G19" s="13">
        <f t="shared" si="0"/>
        <v>3</v>
      </c>
      <c r="H19" s="15">
        <v>1</v>
      </c>
      <c r="I19" s="13" t="s">
        <v>11</v>
      </c>
      <c r="J19" s="13"/>
      <c r="K19" s="13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</row>
    <row r="20" spans="1:36" x14ac:dyDescent="0.25">
      <c r="A20" s="13" t="s">
        <v>95</v>
      </c>
      <c r="B20" s="13" t="s">
        <v>96</v>
      </c>
      <c r="C20" s="13" t="s">
        <v>97</v>
      </c>
      <c r="D20" s="13" t="s">
        <v>63</v>
      </c>
      <c r="E20" s="14">
        <v>46059</v>
      </c>
      <c r="F20" s="14">
        <v>46063</v>
      </c>
      <c r="G20" s="13">
        <f t="shared" si="0"/>
        <v>3</v>
      </c>
      <c r="H20" s="15">
        <v>1</v>
      </c>
      <c r="I20" s="13" t="s">
        <v>11</v>
      </c>
      <c r="J20" s="13" t="s">
        <v>90</v>
      </c>
      <c r="K20" s="13" t="s">
        <v>98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 x14ac:dyDescent="0.25">
      <c r="A21" s="13" t="s">
        <v>99</v>
      </c>
      <c r="B21" s="13" t="s">
        <v>100</v>
      </c>
      <c r="C21" s="13" t="s">
        <v>80</v>
      </c>
      <c r="D21" s="13" t="s">
        <v>63</v>
      </c>
      <c r="E21" s="14">
        <v>46063</v>
      </c>
      <c r="F21" s="14">
        <v>46063</v>
      </c>
      <c r="G21" s="13">
        <f t="shared" si="0"/>
        <v>1</v>
      </c>
      <c r="H21" s="15">
        <v>0.5</v>
      </c>
      <c r="I21" s="13" t="s">
        <v>9</v>
      </c>
      <c r="J21" s="13" t="s">
        <v>95</v>
      </c>
      <c r="K21" s="13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36" ht="30" x14ac:dyDescent="0.25">
      <c r="A22" s="13" t="s">
        <v>101</v>
      </c>
      <c r="B22" s="13" t="s">
        <v>102</v>
      </c>
      <c r="C22" s="13" t="s">
        <v>97</v>
      </c>
      <c r="D22" s="13" t="s">
        <v>63</v>
      </c>
      <c r="E22" s="14">
        <v>46063</v>
      </c>
      <c r="F22" s="14">
        <v>46065</v>
      </c>
      <c r="G22" s="13">
        <f t="shared" si="0"/>
        <v>3</v>
      </c>
      <c r="H22" s="15">
        <v>0</v>
      </c>
      <c r="I22" s="13" t="s">
        <v>7</v>
      </c>
      <c r="J22" s="13" t="s">
        <v>99</v>
      </c>
      <c r="K22" s="13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</row>
    <row r="23" spans="1:36" x14ac:dyDescent="0.25">
      <c r="A23" s="13" t="s">
        <v>103</v>
      </c>
      <c r="B23" s="13" t="s">
        <v>104</v>
      </c>
      <c r="C23" s="13" t="s">
        <v>80</v>
      </c>
      <c r="D23" s="13" t="s">
        <v>63</v>
      </c>
      <c r="E23" s="14">
        <v>46065</v>
      </c>
      <c r="F23" s="14">
        <v>46065</v>
      </c>
      <c r="G23" s="13">
        <f t="shared" si="0"/>
        <v>1</v>
      </c>
      <c r="H23" s="15">
        <v>0</v>
      </c>
      <c r="I23" s="13" t="s">
        <v>7</v>
      </c>
      <c r="J23" s="13" t="s">
        <v>101</v>
      </c>
      <c r="K23" s="13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</row>
    <row r="24" spans="1:36" ht="30" x14ac:dyDescent="0.25">
      <c r="A24" s="13" t="s">
        <v>105</v>
      </c>
      <c r="B24" s="13" t="s">
        <v>106</v>
      </c>
      <c r="C24" s="13" t="s">
        <v>107</v>
      </c>
      <c r="D24" s="13" t="s">
        <v>63</v>
      </c>
      <c r="E24" s="14">
        <v>46065</v>
      </c>
      <c r="F24" s="14">
        <v>46066</v>
      </c>
      <c r="G24" s="13">
        <f t="shared" si="0"/>
        <v>2</v>
      </c>
      <c r="H24" s="15">
        <v>0</v>
      </c>
      <c r="I24" s="13" t="s">
        <v>7</v>
      </c>
      <c r="J24" s="13" t="s">
        <v>103</v>
      </c>
      <c r="K24" s="13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</row>
    <row r="25" spans="1:36" x14ac:dyDescent="0.25">
      <c r="A25" s="13" t="s">
        <v>108</v>
      </c>
      <c r="B25" s="13" t="s">
        <v>109</v>
      </c>
      <c r="C25" s="13" t="s">
        <v>80</v>
      </c>
      <c r="D25" s="13" t="s">
        <v>63</v>
      </c>
      <c r="E25" s="14">
        <v>46066</v>
      </c>
      <c r="F25" s="14">
        <v>46066</v>
      </c>
      <c r="G25" s="13">
        <f t="shared" si="0"/>
        <v>1</v>
      </c>
      <c r="H25" s="15">
        <v>0</v>
      </c>
      <c r="I25" s="13" t="s">
        <v>7</v>
      </c>
      <c r="J25" s="13" t="s">
        <v>105</v>
      </c>
      <c r="K25" s="13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</row>
    <row r="26" spans="1:36" x14ac:dyDescent="0.25">
      <c r="A26" s="13" t="s">
        <v>110</v>
      </c>
      <c r="B26" s="13" t="s">
        <v>111</v>
      </c>
      <c r="C26" s="13" t="s">
        <v>80</v>
      </c>
      <c r="D26" s="13" t="s">
        <v>63</v>
      </c>
      <c r="E26" s="14">
        <v>46066</v>
      </c>
      <c r="F26" s="14">
        <v>46066</v>
      </c>
      <c r="G26" s="13">
        <f t="shared" si="0"/>
        <v>1</v>
      </c>
      <c r="H26" s="15">
        <v>0</v>
      </c>
      <c r="I26" s="13" t="s">
        <v>7</v>
      </c>
      <c r="J26" s="13" t="s">
        <v>108</v>
      </c>
      <c r="K26" s="13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</row>
    <row r="27" spans="1:36" ht="30" x14ac:dyDescent="0.25">
      <c r="A27" s="13" t="s">
        <v>112</v>
      </c>
      <c r="B27" s="13" t="s">
        <v>113</v>
      </c>
      <c r="C27" s="13" t="s">
        <v>114</v>
      </c>
      <c r="D27" s="13" t="s">
        <v>63</v>
      </c>
      <c r="E27" s="14">
        <v>46050</v>
      </c>
      <c r="F27" s="14">
        <v>46073</v>
      </c>
      <c r="G27" s="13">
        <f t="shared" si="0"/>
        <v>18</v>
      </c>
      <c r="H27" s="15">
        <v>0</v>
      </c>
      <c r="I27" s="13" t="s">
        <v>7</v>
      </c>
      <c r="J27" s="13"/>
      <c r="K27" s="13" t="s">
        <v>115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</row>
    <row r="28" spans="1:36" x14ac:dyDescent="0.25">
      <c r="A28" s="13" t="s">
        <v>116</v>
      </c>
      <c r="B28" s="13" t="s">
        <v>117</v>
      </c>
      <c r="C28" s="13" t="s">
        <v>80</v>
      </c>
      <c r="D28" s="13" t="s">
        <v>63</v>
      </c>
      <c r="E28" s="14">
        <v>46073</v>
      </c>
      <c r="F28" s="14">
        <v>46073</v>
      </c>
      <c r="G28" s="13">
        <f t="shared" si="0"/>
        <v>1</v>
      </c>
      <c r="H28" s="15">
        <v>0</v>
      </c>
      <c r="I28" s="13" t="s">
        <v>7</v>
      </c>
      <c r="J28" s="13" t="s">
        <v>112</v>
      </c>
      <c r="K28" s="13" t="s">
        <v>118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</row>
  </sheetData>
  <mergeCells count="5">
    <mergeCell ref="A1:AE1"/>
    <mergeCell ref="A5:K5"/>
    <mergeCell ref="A3:AE3"/>
    <mergeCell ref="A2:AE2"/>
    <mergeCell ref="B4:L4"/>
  </mergeCells>
  <conditionalFormatting sqref="H9:H200">
    <cfRule type="dataBar" priority="9">
      <dataBar>
        <cfvo type="num" val="0"/>
        <cfvo type="num" val="1"/>
        <color rgb="FF0B7285"/>
      </dataBar>
    </cfRule>
  </conditionalFormatting>
  <conditionalFormatting sqref="I9:I200">
    <cfRule type="expression" dxfId="45" priority="1">
      <formula>I9="Done"</formula>
    </cfRule>
    <cfRule type="expression" dxfId="44" priority="2">
      <formula>I9="In Progress"</formula>
    </cfRule>
    <cfRule type="expression" dxfId="43" priority="3">
      <formula>I9="Not Started"</formula>
    </cfRule>
    <cfRule type="expression" dxfId="42" priority="4">
      <formula>I9="Blocked"</formula>
    </cfRule>
    <cfRule type="expression" dxfId="41" priority="10" stopIfTrue="1">
      <formula>I9="Done"</formula>
    </cfRule>
    <cfRule type="expression" dxfId="40" priority="11" stopIfTrue="1">
      <formula>I9="In Progress"</formula>
    </cfRule>
    <cfRule type="expression" dxfId="39" priority="12" stopIfTrue="1">
      <formula>I9="Not Started"</formula>
    </cfRule>
    <cfRule type="expression" dxfId="38" priority="13" stopIfTrue="1">
      <formula>I9="Blocked"</formula>
    </cfRule>
  </conditionalFormatting>
  <conditionalFormatting sqref="L9:AJ200">
    <cfRule type="expression" dxfId="37" priority="5">
      <formula>AND(L$7&gt;=$E9,L$7&lt;=$F9,$I9="Done")</formula>
    </cfRule>
    <cfRule type="expression" dxfId="36" priority="6">
      <formula>AND(L$7&gt;=$E9,L$7&lt;=$F9,$I9="In Progress")</formula>
    </cfRule>
    <cfRule type="expression" dxfId="35" priority="7">
      <formula>AND(L$7&gt;=$E9,L$7&lt;=$F9,$I9="Not Started")</formula>
    </cfRule>
    <cfRule type="expression" dxfId="34" priority="8">
      <formula>AND(L$7&gt;=$E9,L$7&lt;=$F9,$I9="Blocked")</formula>
    </cfRule>
  </conditionalFormatting>
  <dataValidations count="1">
    <dataValidation type="list" allowBlank="1" showDropDown="1" sqref="I9:I200" xr:uid="{00000000-0002-0000-0100-000000000000}">
      <formula1>"Not Started,In Progress,Done,Blocked"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workbookViewId="0">
      <selection activeCell="J16" sqref="J16"/>
    </sheetView>
  </sheetViews>
  <sheetFormatPr defaultRowHeight="15" x14ac:dyDescent="0.25"/>
  <cols>
    <col min="1" max="1" width="14" customWidth="1"/>
    <col min="2" max="2" width="28" customWidth="1"/>
    <col min="3" max="3" width="26" customWidth="1"/>
    <col min="4" max="4" width="6" customWidth="1"/>
    <col min="5" max="5" width="12" customWidth="1"/>
    <col min="6" max="6" width="14" customWidth="1"/>
    <col min="7" max="7" width="18" customWidth="1"/>
    <col min="8" max="10" width="10" customWidth="1"/>
    <col min="11" max="11" width="12" customWidth="1"/>
    <col min="12" max="12" width="36" customWidth="1"/>
  </cols>
  <sheetData>
    <row r="1" spans="1:14" ht="23.25" x14ac:dyDescent="0.35">
      <c r="A1" s="47" t="s">
        <v>119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x14ac:dyDescent="0.25">
      <c r="A2" s="55" t="s">
        <v>120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x14ac:dyDescent="0.25">
      <c r="A3" s="54" t="s">
        <v>121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5" spans="1:14" x14ac:dyDescent="0.25">
      <c r="A5" s="57" t="s">
        <v>122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7" spans="1:14" ht="30" x14ac:dyDescent="0.25">
      <c r="A7" s="4" t="s">
        <v>49</v>
      </c>
      <c r="B7" s="4" t="s">
        <v>123</v>
      </c>
      <c r="C7" s="4" t="s">
        <v>124</v>
      </c>
      <c r="D7" s="4" t="s">
        <v>125</v>
      </c>
      <c r="E7" s="4" t="s">
        <v>126</v>
      </c>
      <c r="F7" s="4" t="s">
        <v>127</v>
      </c>
      <c r="G7" s="4" t="s">
        <v>128</v>
      </c>
      <c r="H7" s="4" t="s">
        <v>129</v>
      </c>
      <c r="I7" s="4" t="s">
        <v>130</v>
      </c>
      <c r="J7" s="4" t="s">
        <v>131</v>
      </c>
      <c r="K7" s="4" t="s">
        <v>16</v>
      </c>
      <c r="L7" s="4" t="s">
        <v>17</v>
      </c>
    </row>
    <row r="8" spans="1:14" x14ac:dyDescent="0.25">
      <c r="A8" s="13" t="s">
        <v>132</v>
      </c>
      <c r="B8" s="13" t="s">
        <v>133</v>
      </c>
      <c r="C8" s="13" t="s">
        <v>134</v>
      </c>
      <c r="D8" s="13">
        <v>1</v>
      </c>
      <c r="E8" s="13" t="s">
        <v>135</v>
      </c>
      <c r="F8" s="13"/>
      <c r="G8" s="13"/>
      <c r="H8" s="17"/>
      <c r="I8" s="17">
        <f t="shared" ref="I8:I34" si="0">IFERROR(H8*D8,"")</f>
        <v>0</v>
      </c>
      <c r="J8" s="13" t="s">
        <v>136</v>
      </c>
      <c r="K8" s="13" t="s">
        <v>36</v>
      </c>
      <c r="L8" s="13" t="s">
        <v>137</v>
      </c>
    </row>
    <row r="9" spans="1:14" ht="30" x14ac:dyDescent="0.25">
      <c r="A9" s="13" t="s">
        <v>132</v>
      </c>
      <c r="B9" s="13" t="s">
        <v>138</v>
      </c>
      <c r="C9" s="13" t="s">
        <v>139</v>
      </c>
      <c r="D9" s="13">
        <v>1</v>
      </c>
      <c r="E9" s="13" t="s">
        <v>135</v>
      </c>
      <c r="F9" s="13"/>
      <c r="G9" s="13"/>
      <c r="H9" s="17"/>
      <c r="I9" s="17">
        <f t="shared" si="0"/>
        <v>0</v>
      </c>
      <c r="J9" s="13" t="s">
        <v>136</v>
      </c>
      <c r="K9" s="13" t="s">
        <v>36</v>
      </c>
      <c r="L9" s="13" t="s">
        <v>140</v>
      </c>
    </row>
    <row r="10" spans="1:14" x14ac:dyDescent="0.25">
      <c r="A10" s="13" t="s">
        <v>141</v>
      </c>
      <c r="B10" s="13" t="s">
        <v>142</v>
      </c>
      <c r="C10" s="13" t="s">
        <v>143</v>
      </c>
      <c r="D10" s="13">
        <v>1</v>
      </c>
      <c r="E10" s="13" t="s">
        <v>135</v>
      </c>
      <c r="F10" s="13"/>
      <c r="G10" s="13"/>
      <c r="H10" s="17"/>
      <c r="I10" s="17">
        <f t="shared" si="0"/>
        <v>0</v>
      </c>
      <c r="J10" s="13" t="s">
        <v>136</v>
      </c>
      <c r="K10" s="13" t="s">
        <v>36</v>
      </c>
      <c r="L10" s="13" t="s">
        <v>144</v>
      </c>
    </row>
    <row r="11" spans="1:14" x14ac:dyDescent="0.25">
      <c r="A11" s="13" t="s">
        <v>141</v>
      </c>
      <c r="B11" s="13" t="s">
        <v>145</v>
      </c>
      <c r="C11" s="13" t="s">
        <v>146</v>
      </c>
      <c r="D11" s="13">
        <v>1</v>
      </c>
      <c r="E11" s="13" t="s">
        <v>135</v>
      </c>
      <c r="F11" s="13"/>
      <c r="G11" s="13"/>
      <c r="H11" s="17"/>
      <c r="I11" s="17">
        <f t="shared" si="0"/>
        <v>0</v>
      </c>
      <c r="J11" s="13" t="s">
        <v>136</v>
      </c>
      <c r="K11" s="13" t="s">
        <v>36</v>
      </c>
      <c r="L11" s="13" t="s">
        <v>144</v>
      </c>
    </row>
    <row r="12" spans="1:14" ht="30" x14ac:dyDescent="0.25">
      <c r="A12" s="13" t="s">
        <v>141</v>
      </c>
      <c r="B12" s="13" t="s">
        <v>147</v>
      </c>
      <c r="C12" s="13" t="s">
        <v>148</v>
      </c>
      <c r="D12" s="13">
        <v>2</v>
      </c>
      <c r="E12" s="13" t="s">
        <v>135</v>
      </c>
      <c r="F12" s="13"/>
      <c r="G12" s="13"/>
      <c r="H12" s="17"/>
      <c r="I12" s="17">
        <f t="shared" si="0"/>
        <v>0</v>
      </c>
      <c r="J12" s="13" t="s">
        <v>136</v>
      </c>
      <c r="K12" s="13" t="s">
        <v>36</v>
      </c>
      <c r="L12" s="13" t="s">
        <v>149</v>
      </c>
    </row>
    <row r="13" spans="1:14" ht="30" x14ac:dyDescent="0.25">
      <c r="A13" s="13" t="s">
        <v>141</v>
      </c>
      <c r="B13" s="13" t="s">
        <v>150</v>
      </c>
      <c r="C13" s="13" t="s">
        <v>151</v>
      </c>
      <c r="D13" s="13">
        <v>2</v>
      </c>
      <c r="E13" s="13" t="s">
        <v>135</v>
      </c>
      <c r="F13" s="13"/>
      <c r="G13" s="13"/>
      <c r="H13" s="17"/>
      <c r="I13" s="17">
        <f t="shared" si="0"/>
        <v>0</v>
      </c>
      <c r="J13" s="13" t="s">
        <v>152</v>
      </c>
      <c r="K13" s="13" t="s">
        <v>36</v>
      </c>
      <c r="L13" s="13" t="s">
        <v>153</v>
      </c>
    </row>
    <row r="14" spans="1:14" x14ac:dyDescent="0.25">
      <c r="A14" s="13" t="s">
        <v>154</v>
      </c>
      <c r="B14" s="13" t="s">
        <v>155</v>
      </c>
      <c r="C14" s="13" t="s">
        <v>156</v>
      </c>
      <c r="D14" s="13">
        <v>1</v>
      </c>
      <c r="E14" s="13" t="s">
        <v>135</v>
      </c>
      <c r="F14" s="13"/>
      <c r="G14" s="13"/>
      <c r="H14" s="17"/>
      <c r="I14" s="17">
        <f t="shared" si="0"/>
        <v>0</v>
      </c>
      <c r="J14" s="13" t="s">
        <v>136</v>
      </c>
      <c r="K14" s="13" t="s">
        <v>36</v>
      </c>
      <c r="L14" s="13" t="s">
        <v>144</v>
      </c>
    </row>
    <row r="15" spans="1:14" x14ac:dyDescent="0.25">
      <c r="A15" s="13" t="s">
        <v>154</v>
      </c>
      <c r="B15" s="13" t="s">
        <v>157</v>
      </c>
      <c r="C15" s="13" t="s">
        <v>158</v>
      </c>
      <c r="D15" s="13">
        <v>1</v>
      </c>
      <c r="E15" s="13" t="s">
        <v>135</v>
      </c>
      <c r="F15" s="13"/>
      <c r="G15" s="13"/>
      <c r="H15" s="17"/>
      <c r="I15" s="17">
        <f t="shared" si="0"/>
        <v>0</v>
      </c>
      <c r="J15" s="13" t="s">
        <v>136</v>
      </c>
      <c r="K15" s="13" t="s">
        <v>36</v>
      </c>
      <c r="L15" s="13" t="s">
        <v>144</v>
      </c>
    </row>
    <row r="16" spans="1:14" ht="30" x14ac:dyDescent="0.25">
      <c r="A16" s="13" t="s">
        <v>154</v>
      </c>
      <c r="B16" s="13" t="s">
        <v>159</v>
      </c>
      <c r="C16" s="13" t="s">
        <v>160</v>
      </c>
      <c r="D16" s="13">
        <v>1</v>
      </c>
      <c r="E16" s="13" t="s">
        <v>135</v>
      </c>
      <c r="F16" s="13"/>
      <c r="G16" s="13"/>
      <c r="H16" s="17"/>
      <c r="I16" s="17">
        <f t="shared" si="0"/>
        <v>0</v>
      </c>
      <c r="J16" s="13" t="s">
        <v>152</v>
      </c>
      <c r="K16" s="13" t="s">
        <v>36</v>
      </c>
      <c r="L16" s="13" t="s">
        <v>161</v>
      </c>
    </row>
    <row r="17" spans="1:12" x14ac:dyDescent="0.25">
      <c r="A17" s="13" t="s">
        <v>154</v>
      </c>
      <c r="B17" s="13" t="s">
        <v>162</v>
      </c>
      <c r="C17" s="13" t="s">
        <v>163</v>
      </c>
      <c r="D17" s="13">
        <v>4</v>
      </c>
      <c r="E17" s="13" t="s">
        <v>135</v>
      </c>
      <c r="F17" s="13"/>
      <c r="G17" s="13"/>
      <c r="H17" s="17"/>
      <c r="I17" s="17">
        <f t="shared" si="0"/>
        <v>0</v>
      </c>
      <c r="J17" s="13" t="s">
        <v>136</v>
      </c>
      <c r="K17" s="13" t="s">
        <v>36</v>
      </c>
      <c r="L17" s="13" t="s">
        <v>164</v>
      </c>
    </row>
    <row r="18" spans="1:12" x14ac:dyDescent="0.25">
      <c r="A18" s="13" t="s">
        <v>154</v>
      </c>
      <c r="B18" s="13" t="s">
        <v>165</v>
      </c>
      <c r="C18" s="13" t="s">
        <v>166</v>
      </c>
      <c r="D18" s="13">
        <v>2</v>
      </c>
      <c r="E18" s="13" t="s">
        <v>135</v>
      </c>
      <c r="F18" s="13"/>
      <c r="G18" s="13"/>
      <c r="H18" s="17"/>
      <c r="I18" s="17">
        <f t="shared" si="0"/>
        <v>0</v>
      </c>
      <c r="J18" s="13" t="s">
        <v>152</v>
      </c>
      <c r="K18" s="13" t="s">
        <v>36</v>
      </c>
      <c r="L18" s="13" t="s">
        <v>167</v>
      </c>
    </row>
    <row r="19" spans="1:12" x14ac:dyDescent="0.25">
      <c r="A19" s="13" t="s">
        <v>168</v>
      </c>
      <c r="B19" s="13" t="s">
        <v>169</v>
      </c>
      <c r="C19" s="13" t="s">
        <v>170</v>
      </c>
      <c r="D19" s="13">
        <v>1</v>
      </c>
      <c r="E19" s="13" t="s">
        <v>171</v>
      </c>
      <c r="F19" s="13"/>
      <c r="G19" s="13"/>
      <c r="H19" s="17"/>
      <c r="I19" s="17">
        <f t="shared" si="0"/>
        <v>0</v>
      </c>
      <c r="J19" s="13" t="s">
        <v>136</v>
      </c>
      <c r="K19" s="13" t="s">
        <v>37</v>
      </c>
      <c r="L19" s="13" t="s">
        <v>172</v>
      </c>
    </row>
    <row r="20" spans="1:12" x14ac:dyDescent="0.25">
      <c r="A20" s="13" t="s">
        <v>173</v>
      </c>
      <c r="B20" s="13" t="s">
        <v>174</v>
      </c>
      <c r="C20" s="13" t="s">
        <v>175</v>
      </c>
      <c r="D20" s="13">
        <v>1</v>
      </c>
      <c r="E20" s="13" t="s">
        <v>171</v>
      </c>
      <c r="F20" s="13"/>
      <c r="G20" s="13"/>
      <c r="H20" s="17"/>
      <c r="I20" s="17">
        <f t="shared" si="0"/>
        <v>0</v>
      </c>
      <c r="J20" s="13" t="s">
        <v>152</v>
      </c>
      <c r="K20" s="13" t="s">
        <v>37</v>
      </c>
      <c r="L20" s="13" t="s">
        <v>176</v>
      </c>
    </row>
    <row r="21" spans="1:12" x14ac:dyDescent="0.25">
      <c r="A21" s="13" t="s">
        <v>173</v>
      </c>
      <c r="B21" s="13" t="s">
        <v>177</v>
      </c>
      <c r="C21" s="13" t="s">
        <v>178</v>
      </c>
      <c r="D21" s="13">
        <v>1</v>
      </c>
      <c r="E21" s="13" t="s">
        <v>171</v>
      </c>
      <c r="F21" s="13"/>
      <c r="G21" s="13"/>
      <c r="H21" s="17"/>
      <c r="I21" s="17">
        <f t="shared" si="0"/>
        <v>0</v>
      </c>
      <c r="J21" s="13" t="s">
        <v>152</v>
      </c>
      <c r="K21" s="13" t="s">
        <v>37</v>
      </c>
      <c r="L21" s="13"/>
    </row>
    <row r="22" spans="1:12" ht="30" x14ac:dyDescent="0.25">
      <c r="A22" s="13" t="s">
        <v>173</v>
      </c>
      <c r="B22" s="13" t="s">
        <v>179</v>
      </c>
      <c r="C22" s="13" t="s">
        <v>180</v>
      </c>
      <c r="D22" s="13">
        <v>1</v>
      </c>
      <c r="E22" s="13" t="s">
        <v>171</v>
      </c>
      <c r="F22" s="13"/>
      <c r="G22" s="13"/>
      <c r="H22" s="17"/>
      <c r="I22" s="17">
        <f t="shared" si="0"/>
        <v>0</v>
      </c>
      <c r="J22" s="13" t="s">
        <v>152</v>
      </c>
      <c r="K22" s="13" t="s">
        <v>37</v>
      </c>
      <c r="L22" s="13" t="s">
        <v>181</v>
      </c>
    </row>
    <row r="23" spans="1:12" ht="30" x14ac:dyDescent="0.25">
      <c r="A23" s="13" t="s">
        <v>173</v>
      </c>
      <c r="B23" s="13" t="s">
        <v>182</v>
      </c>
      <c r="C23" s="13" t="s">
        <v>183</v>
      </c>
      <c r="D23" s="13">
        <v>1</v>
      </c>
      <c r="E23" s="13" t="s">
        <v>171</v>
      </c>
      <c r="F23" s="13"/>
      <c r="G23" s="13"/>
      <c r="H23" s="17"/>
      <c r="I23" s="17">
        <f t="shared" si="0"/>
        <v>0</v>
      </c>
      <c r="J23" s="13" t="s">
        <v>152</v>
      </c>
      <c r="K23" s="13" t="s">
        <v>37</v>
      </c>
      <c r="L23" s="13"/>
    </row>
    <row r="24" spans="1:12" ht="30" x14ac:dyDescent="0.25">
      <c r="A24" s="13" t="s">
        <v>184</v>
      </c>
      <c r="B24" s="13" t="s">
        <v>185</v>
      </c>
      <c r="C24" s="13" t="s">
        <v>186</v>
      </c>
      <c r="D24" s="13">
        <v>1</v>
      </c>
      <c r="E24" s="13" t="s">
        <v>171</v>
      </c>
      <c r="F24" s="13"/>
      <c r="G24" s="13"/>
      <c r="H24" s="17"/>
      <c r="I24" s="17">
        <f t="shared" si="0"/>
        <v>0</v>
      </c>
      <c r="J24" s="13" t="s">
        <v>136</v>
      </c>
      <c r="K24" s="13" t="s">
        <v>37</v>
      </c>
      <c r="L24" s="13" t="s">
        <v>187</v>
      </c>
    </row>
    <row r="25" spans="1:12" x14ac:dyDescent="0.25">
      <c r="A25" s="13" t="s">
        <v>184</v>
      </c>
      <c r="B25" s="13" t="s">
        <v>188</v>
      </c>
      <c r="C25" s="13" t="s">
        <v>189</v>
      </c>
      <c r="D25" s="13">
        <v>1</v>
      </c>
      <c r="E25" s="13" t="s">
        <v>171</v>
      </c>
      <c r="F25" s="13"/>
      <c r="G25" s="13"/>
      <c r="H25" s="17"/>
      <c r="I25" s="17">
        <f t="shared" si="0"/>
        <v>0</v>
      </c>
      <c r="J25" s="13" t="s">
        <v>136</v>
      </c>
      <c r="K25" s="13" t="s">
        <v>37</v>
      </c>
      <c r="L25" s="13" t="s">
        <v>187</v>
      </c>
    </row>
    <row r="26" spans="1:12" ht="30" x14ac:dyDescent="0.25">
      <c r="A26" s="13" t="s">
        <v>141</v>
      </c>
      <c r="B26" s="13" t="s">
        <v>190</v>
      </c>
      <c r="C26" s="13" t="s">
        <v>191</v>
      </c>
      <c r="D26" s="13">
        <v>1</v>
      </c>
      <c r="E26" s="13" t="s">
        <v>135</v>
      </c>
      <c r="F26" s="13"/>
      <c r="G26" s="13"/>
      <c r="H26" s="17"/>
      <c r="I26" s="17">
        <f t="shared" si="0"/>
        <v>0</v>
      </c>
      <c r="J26" s="13" t="s">
        <v>136</v>
      </c>
      <c r="K26" s="13" t="s">
        <v>36</v>
      </c>
      <c r="L26" s="13" t="s">
        <v>192</v>
      </c>
    </row>
    <row r="27" spans="1:12" x14ac:dyDescent="0.25">
      <c r="A27" s="13" t="s">
        <v>193</v>
      </c>
      <c r="B27" s="13" t="s">
        <v>194</v>
      </c>
      <c r="C27" s="13" t="s">
        <v>195</v>
      </c>
      <c r="D27" s="13">
        <v>1</v>
      </c>
      <c r="E27" s="13" t="s">
        <v>171</v>
      </c>
      <c r="F27" s="13"/>
      <c r="G27" s="13"/>
      <c r="H27" s="17"/>
      <c r="I27" s="17">
        <f t="shared" si="0"/>
        <v>0</v>
      </c>
      <c r="J27" s="13" t="s">
        <v>136</v>
      </c>
      <c r="K27" s="13" t="s">
        <v>37</v>
      </c>
      <c r="L27" s="13" t="s">
        <v>196</v>
      </c>
    </row>
    <row r="28" spans="1:12" ht="30" x14ac:dyDescent="0.25">
      <c r="A28" s="13" t="s">
        <v>193</v>
      </c>
      <c r="B28" s="13" t="s">
        <v>197</v>
      </c>
      <c r="C28" s="13" t="s">
        <v>198</v>
      </c>
      <c r="D28" s="13">
        <v>1</v>
      </c>
      <c r="E28" s="13" t="s">
        <v>171</v>
      </c>
      <c r="F28" s="13"/>
      <c r="G28" s="13"/>
      <c r="H28" s="17"/>
      <c r="I28" s="17">
        <f t="shared" si="0"/>
        <v>0</v>
      </c>
      <c r="J28" s="13" t="s">
        <v>199</v>
      </c>
      <c r="K28" s="13" t="s">
        <v>40</v>
      </c>
      <c r="L28" s="13" t="s">
        <v>200</v>
      </c>
    </row>
    <row r="29" spans="1:12" ht="30" x14ac:dyDescent="0.25">
      <c r="A29" s="13" t="s">
        <v>201</v>
      </c>
      <c r="B29" s="13" t="s">
        <v>202</v>
      </c>
      <c r="C29" s="13" t="s">
        <v>203</v>
      </c>
      <c r="D29" s="13">
        <v>1</v>
      </c>
      <c r="E29" s="13" t="s">
        <v>135</v>
      </c>
      <c r="F29" s="13"/>
      <c r="G29" s="13"/>
      <c r="H29" s="17"/>
      <c r="I29" s="17">
        <f t="shared" si="0"/>
        <v>0</v>
      </c>
      <c r="J29" s="13" t="s">
        <v>136</v>
      </c>
      <c r="K29" s="13" t="s">
        <v>36</v>
      </c>
      <c r="L29" s="13" t="s">
        <v>204</v>
      </c>
    </row>
    <row r="30" spans="1:12" x14ac:dyDescent="0.25">
      <c r="A30" s="13" t="s">
        <v>201</v>
      </c>
      <c r="B30" s="13" t="s">
        <v>205</v>
      </c>
      <c r="C30" s="13" t="s">
        <v>206</v>
      </c>
      <c r="D30" s="13">
        <v>1</v>
      </c>
      <c r="E30" s="13" t="s">
        <v>171</v>
      </c>
      <c r="F30" s="13"/>
      <c r="G30" s="13"/>
      <c r="H30" s="17"/>
      <c r="I30" s="17">
        <f t="shared" si="0"/>
        <v>0</v>
      </c>
      <c r="J30" s="13" t="s">
        <v>152</v>
      </c>
      <c r="K30" s="13" t="s">
        <v>37</v>
      </c>
      <c r="L30" s="13"/>
    </row>
    <row r="31" spans="1:12" x14ac:dyDescent="0.25">
      <c r="A31" s="13" t="s">
        <v>201</v>
      </c>
      <c r="B31" s="13" t="s">
        <v>207</v>
      </c>
      <c r="C31" s="13" t="s">
        <v>208</v>
      </c>
      <c r="D31" s="13">
        <v>1</v>
      </c>
      <c r="E31" s="13" t="s">
        <v>171</v>
      </c>
      <c r="F31" s="13"/>
      <c r="G31" s="13"/>
      <c r="H31" s="17"/>
      <c r="I31" s="17">
        <f t="shared" si="0"/>
        <v>0</v>
      </c>
      <c r="J31" s="13" t="s">
        <v>199</v>
      </c>
      <c r="K31" s="13" t="s">
        <v>40</v>
      </c>
      <c r="L31" s="13" t="s">
        <v>209</v>
      </c>
    </row>
    <row r="32" spans="1:12" x14ac:dyDescent="0.25">
      <c r="A32" s="13" t="s">
        <v>201</v>
      </c>
      <c r="B32" s="13" t="s">
        <v>210</v>
      </c>
      <c r="C32" s="13" t="s">
        <v>211</v>
      </c>
      <c r="D32" s="13">
        <v>1</v>
      </c>
      <c r="E32" s="13" t="s">
        <v>171</v>
      </c>
      <c r="F32" s="13"/>
      <c r="G32" s="13"/>
      <c r="H32" s="17"/>
      <c r="I32" s="17">
        <f t="shared" si="0"/>
        <v>0</v>
      </c>
      <c r="J32" s="13" t="s">
        <v>199</v>
      </c>
      <c r="K32" s="13" t="s">
        <v>40</v>
      </c>
      <c r="L32" s="13" t="s">
        <v>212</v>
      </c>
    </row>
    <row r="33" spans="1:12" ht="30" x14ac:dyDescent="0.25">
      <c r="A33" s="13" t="s">
        <v>201</v>
      </c>
      <c r="B33" s="13" t="s">
        <v>213</v>
      </c>
      <c r="C33" s="13" t="s">
        <v>214</v>
      </c>
      <c r="D33" s="13">
        <v>1</v>
      </c>
      <c r="E33" s="13" t="s">
        <v>171</v>
      </c>
      <c r="F33" s="13"/>
      <c r="G33" s="13"/>
      <c r="H33" s="17"/>
      <c r="I33" s="17">
        <f t="shared" si="0"/>
        <v>0</v>
      </c>
      <c r="J33" s="13" t="s">
        <v>199</v>
      </c>
      <c r="K33" s="13" t="s">
        <v>40</v>
      </c>
      <c r="L33" s="13" t="s">
        <v>215</v>
      </c>
    </row>
    <row r="34" spans="1:12" ht="30" x14ac:dyDescent="0.25">
      <c r="A34" s="13" t="s">
        <v>216</v>
      </c>
      <c r="B34" s="13" t="s">
        <v>217</v>
      </c>
      <c r="C34" s="13" t="s">
        <v>218</v>
      </c>
      <c r="D34" s="13">
        <v>1</v>
      </c>
      <c r="E34" s="13" t="s">
        <v>171</v>
      </c>
      <c r="F34" s="13"/>
      <c r="G34" s="13"/>
      <c r="H34" s="17"/>
      <c r="I34" s="17">
        <f t="shared" si="0"/>
        <v>0</v>
      </c>
      <c r="J34" s="13" t="s">
        <v>199</v>
      </c>
      <c r="K34" s="13" t="s">
        <v>40</v>
      </c>
      <c r="L34" s="13" t="s">
        <v>219</v>
      </c>
    </row>
    <row r="36" spans="1:12" x14ac:dyDescent="0.25">
      <c r="A36" s="60" t="s">
        <v>220</v>
      </c>
      <c r="B36" s="52"/>
      <c r="C36" s="52"/>
      <c r="D36" s="52"/>
      <c r="E36" s="52"/>
      <c r="F36" s="52"/>
      <c r="G36" s="53"/>
      <c r="H36" s="18" t="s">
        <v>221</v>
      </c>
      <c r="I36" s="19">
        <f>SUM(I8:I34)</f>
        <v>0</v>
      </c>
    </row>
  </sheetData>
  <mergeCells count="5">
    <mergeCell ref="A36:G36"/>
    <mergeCell ref="A3:N3"/>
    <mergeCell ref="A2:N2"/>
    <mergeCell ref="A5:N5"/>
    <mergeCell ref="A1:N1"/>
  </mergeCells>
  <conditionalFormatting sqref="E8:E35">
    <cfRule type="expression" dxfId="33" priority="5" stopIfTrue="1">
      <formula>E8="Yes"</formula>
    </cfRule>
    <cfRule type="expression" dxfId="32" priority="6" stopIfTrue="1">
      <formula>E8="No"</formula>
    </cfRule>
  </conditionalFormatting>
  <conditionalFormatting sqref="J8:J35">
    <cfRule type="expression" dxfId="31" priority="7" stopIfTrue="1">
      <formula>J8="High"</formula>
    </cfRule>
    <cfRule type="expression" dxfId="30" priority="8" stopIfTrue="1">
      <formula>J8="Med"</formula>
    </cfRule>
    <cfRule type="expression" dxfId="29" priority="9" stopIfTrue="1">
      <formula>J8="Low"</formula>
    </cfRule>
  </conditionalFormatting>
  <conditionalFormatting sqref="K8:K34">
    <cfRule type="expression" dxfId="28" priority="1">
      <formula>K8="Received"</formula>
    </cfRule>
    <cfRule type="expression" dxfId="27" priority="2">
      <formula>K8="Ordered"</formula>
    </cfRule>
    <cfRule type="expression" dxfId="26" priority="3">
      <formula>K8="To Buy"</formula>
    </cfRule>
    <cfRule type="expression" dxfId="25" priority="4">
      <formula>K8="To Get"</formula>
    </cfRule>
  </conditionalFormatting>
  <conditionalFormatting sqref="K8:K35">
    <cfRule type="expression" dxfId="24" priority="10" stopIfTrue="1">
      <formula>K8="To Get"</formula>
    </cfRule>
    <cfRule type="expression" dxfId="23" priority="11" stopIfTrue="1">
      <formula>K8="To Buy"</formula>
    </cfRule>
    <cfRule type="expression" dxfId="22" priority="12" stopIfTrue="1">
      <formula>K8="Ordered"</formula>
    </cfRule>
    <cfRule type="expression" dxfId="21" priority="13" stopIfTrue="1">
      <formula>K8="Received"</formula>
    </cfRule>
    <cfRule type="expression" dxfId="20" priority="14" stopIfTrue="1">
      <formula>K8="Optional"</formula>
    </cfRule>
  </conditionalFormatting>
  <dataValidations count="3">
    <dataValidation type="list" allowBlank="1" showDropDown="1" sqref="E8:E35" xr:uid="{00000000-0002-0000-0200-000000000000}">
      <formula1>"Yes,No"</formula1>
    </dataValidation>
    <dataValidation type="list" allowBlank="1" showDropDown="1" sqref="J8:J35" xr:uid="{00000000-0002-0000-0200-000001000000}">
      <formula1>"High,Med,Low"</formula1>
    </dataValidation>
    <dataValidation type="list" allowBlank="1" showDropDown="1" sqref="K8:K35" xr:uid="{00000000-0002-0000-0200-000002000000}">
      <formula1>"To Get,To Buy,Ordered,Received,Optional"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6"/>
  <sheetViews>
    <sheetView zoomScale="80" zoomScaleNormal="80" workbookViewId="0">
      <selection activeCell="M23" sqref="M23"/>
    </sheetView>
  </sheetViews>
  <sheetFormatPr defaultRowHeight="15" x14ac:dyDescent="0.25"/>
  <cols>
    <col min="1" max="1" width="4" customWidth="1"/>
    <col min="2" max="2" width="34" customWidth="1"/>
    <col min="3" max="3" width="58" customWidth="1"/>
    <col min="4" max="4" width="28" customWidth="1"/>
    <col min="5" max="12" width="16" customWidth="1"/>
    <col min="13" max="13" width="14" customWidth="1"/>
    <col min="14" max="14" width="10" customWidth="1"/>
    <col min="15" max="15" width="28" customWidth="1"/>
    <col min="16" max="16" width="12" customWidth="1"/>
  </cols>
  <sheetData>
    <row r="1" spans="1:16" ht="23.25" x14ac:dyDescent="0.35">
      <c r="A1" s="47" t="s">
        <v>222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6" x14ac:dyDescent="0.25">
      <c r="A2" s="55" t="s">
        <v>223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6" x14ac:dyDescent="0.25">
      <c r="A3" s="54" t="s">
        <v>224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5" spans="1:16" x14ac:dyDescent="0.25">
      <c r="A5" s="57" t="s">
        <v>225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3"/>
    </row>
    <row r="6" spans="1:16" x14ac:dyDescent="0.25">
      <c r="M6" s="40" t="s">
        <v>226</v>
      </c>
      <c r="N6" s="44">
        <f>IFERROR((COUNTIF($M$10:$M$43,"Done")+0.5*COUNTIF($M$10:$M$43,"In Progress"))/COUNTIF($M$10:$M$43,"&lt;&gt;"),0)</f>
        <v>0</v>
      </c>
    </row>
    <row r="7" spans="1:16" ht="21.95" customHeight="1" x14ac:dyDescent="0.25">
      <c r="A7" s="64" t="s">
        <v>227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3"/>
    </row>
    <row r="9" spans="1:16" x14ac:dyDescent="0.25">
      <c r="B9" s="64" t="s">
        <v>228</v>
      </c>
      <c r="C9" s="64" t="s">
        <v>229</v>
      </c>
      <c r="D9" s="52"/>
      <c r="E9" s="52"/>
      <c r="F9" s="52"/>
      <c r="G9" s="52"/>
      <c r="H9" s="52"/>
      <c r="I9" s="52"/>
      <c r="J9" s="52"/>
      <c r="K9" s="52"/>
      <c r="L9" s="53"/>
      <c r="M9" s="36" t="s">
        <v>16</v>
      </c>
      <c r="O9" s="40" t="s">
        <v>230</v>
      </c>
      <c r="P9" s="40" t="s">
        <v>231</v>
      </c>
    </row>
    <row r="10" spans="1:16" ht="27.95" customHeight="1" x14ac:dyDescent="0.25">
      <c r="B10" s="37" t="s">
        <v>232</v>
      </c>
      <c r="C10" s="61" t="s">
        <v>233</v>
      </c>
      <c r="D10" s="52"/>
      <c r="E10" s="52"/>
      <c r="F10" s="52"/>
      <c r="G10" s="52"/>
      <c r="H10" s="52"/>
      <c r="I10" s="52"/>
      <c r="J10" s="52"/>
      <c r="K10" s="52"/>
      <c r="L10" s="53"/>
      <c r="M10" s="45"/>
      <c r="O10" t="s">
        <v>232</v>
      </c>
      <c r="P10" s="41">
        <f t="shared" ref="P10:P17" si="0">IF($M10="Done",1,IF($M10="In Progress",0.5,0))</f>
        <v>0</v>
      </c>
    </row>
    <row r="11" spans="1:16" ht="27.95" customHeight="1" x14ac:dyDescent="0.25">
      <c r="B11" s="37" t="s">
        <v>234</v>
      </c>
      <c r="C11" s="61" t="s">
        <v>235</v>
      </c>
      <c r="D11" s="52"/>
      <c r="E11" s="52"/>
      <c r="F11" s="52"/>
      <c r="G11" s="52"/>
      <c r="H11" s="52"/>
      <c r="I11" s="52"/>
      <c r="J11" s="52"/>
      <c r="K11" s="52"/>
      <c r="L11" s="53"/>
      <c r="M11" s="45"/>
      <c r="O11" t="s">
        <v>234</v>
      </c>
      <c r="P11" s="41">
        <f t="shared" si="0"/>
        <v>0</v>
      </c>
    </row>
    <row r="12" spans="1:16" ht="27.95" customHeight="1" x14ac:dyDescent="0.25">
      <c r="B12" s="37" t="s">
        <v>236</v>
      </c>
      <c r="C12" s="61" t="s">
        <v>237</v>
      </c>
      <c r="D12" s="52"/>
      <c r="E12" s="52"/>
      <c r="F12" s="52"/>
      <c r="G12" s="52"/>
      <c r="H12" s="52"/>
      <c r="I12" s="52"/>
      <c r="J12" s="52"/>
      <c r="K12" s="52"/>
      <c r="L12" s="53"/>
      <c r="M12" s="45"/>
      <c r="O12" t="s">
        <v>236</v>
      </c>
      <c r="P12" s="41">
        <f t="shared" si="0"/>
        <v>0</v>
      </c>
    </row>
    <row r="13" spans="1:16" ht="27.95" customHeight="1" x14ac:dyDescent="0.25">
      <c r="B13" s="37" t="s">
        <v>238</v>
      </c>
      <c r="C13" s="61" t="s">
        <v>239</v>
      </c>
      <c r="D13" s="52"/>
      <c r="E13" s="52"/>
      <c r="F13" s="52"/>
      <c r="G13" s="52"/>
      <c r="H13" s="52"/>
      <c r="I13" s="52"/>
      <c r="J13" s="52"/>
      <c r="K13" s="52"/>
      <c r="L13" s="53"/>
      <c r="M13" s="45"/>
      <c r="O13" t="s">
        <v>238</v>
      </c>
      <c r="P13" s="41">
        <f t="shared" si="0"/>
        <v>0</v>
      </c>
    </row>
    <row r="14" spans="1:16" ht="27.95" customHeight="1" x14ac:dyDescent="0.25">
      <c r="B14" s="37" t="s">
        <v>240</v>
      </c>
      <c r="C14" s="61" t="s">
        <v>241</v>
      </c>
      <c r="D14" s="52"/>
      <c r="E14" s="52"/>
      <c r="F14" s="52"/>
      <c r="G14" s="52"/>
      <c r="H14" s="52"/>
      <c r="I14" s="52"/>
      <c r="J14" s="52"/>
      <c r="K14" s="52"/>
      <c r="L14" s="53"/>
      <c r="M14" s="45"/>
      <c r="O14" t="s">
        <v>240</v>
      </c>
      <c r="P14" s="41">
        <f t="shared" si="0"/>
        <v>0</v>
      </c>
    </row>
    <row r="15" spans="1:16" ht="27.95" customHeight="1" x14ac:dyDescent="0.25">
      <c r="B15" s="37" t="s">
        <v>242</v>
      </c>
      <c r="C15" s="61" t="s">
        <v>243</v>
      </c>
      <c r="D15" s="52"/>
      <c r="E15" s="52"/>
      <c r="F15" s="52"/>
      <c r="G15" s="52"/>
      <c r="H15" s="52"/>
      <c r="I15" s="52"/>
      <c r="J15" s="52"/>
      <c r="K15" s="52"/>
      <c r="L15" s="53"/>
      <c r="M15" s="45"/>
      <c r="O15" t="s">
        <v>242</v>
      </c>
      <c r="P15" s="41">
        <f t="shared" si="0"/>
        <v>0</v>
      </c>
    </row>
    <row r="16" spans="1:16" ht="27.95" customHeight="1" x14ac:dyDescent="0.25">
      <c r="B16" s="37" t="s">
        <v>244</v>
      </c>
      <c r="C16" s="61" t="s">
        <v>245</v>
      </c>
      <c r="D16" s="52"/>
      <c r="E16" s="52"/>
      <c r="F16" s="52"/>
      <c r="G16" s="52"/>
      <c r="H16" s="52"/>
      <c r="I16" s="52"/>
      <c r="J16" s="52"/>
      <c r="K16" s="52"/>
      <c r="L16" s="53"/>
      <c r="M16" s="45"/>
      <c r="O16" t="s">
        <v>244</v>
      </c>
      <c r="P16" s="41">
        <f t="shared" si="0"/>
        <v>0</v>
      </c>
    </row>
    <row r="17" spans="1:16" ht="27.95" customHeight="1" x14ac:dyDescent="0.25">
      <c r="B17" s="37" t="s">
        <v>246</v>
      </c>
      <c r="C17" s="61" t="s">
        <v>247</v>
      </c>
      <c r="D17" s="52"/>
      <c r="E17" s="52"/>
      <c r="F17" s="52"/>
      <c r="G17" s="52"/>
      <c r="H17" s="52"/>
      <c r="I17" s="52"/>
      <c r="J17" s="52"/>
      <c r="K17" s="52"/>
      <c r="L17" s="53"/>
      <c r="M17" s="45"/>
      <c r="O17" t="s">
        <v>246</v>
      </c>
      <c r="P17" s="41">
        <f t="shared" si="0"/>
        <v>0</v>
      </c>
    </row>
    <row r="20" spans="1:16" ht="21.95" customHeight="1" x14ac:dyDescent="0.25">
      <c r="A20" s="64" t="s">
        <v>248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2" spans="1:16" ht="20.100000000000001" customHeight="1" x14ac:dyDescent="0.25">
      <c r="B22" s="63" t="s">
        <v>249</v>
      </c>
      <c r="C22" s="52"/>
      <c r="D22" s="52"/>
      <c r="E22" s="52"/>
      <c r="F22" s="52"/>
      <c r="G22" s="52"/>
      <c r="H22" s="52"/>
      <c r="I22" s="52"/>
      <c r="J22" s="52"/>
      <c r="K22" s="52"/>
      <c r="L22" s="53"/>
      <c r="M22" s="38" t="s">
        <v>16</v>
      </c>
      <c r="O22" s="40" t="s">
        <v>250</v>
      </c>
      <c r="P22" s="40" t="s">
        <v>18</v>
      </c>
    </row>
    <row r="23" spans="1:16" ht="21.95" customHeight="1" x14ac:dyDescent="0.25">
      <c r="B23" s="39" t="s">
        <v>251</v>
      </c>
      <c r="C23" s="61" t="s">
        <v>252</v>
      </c>
      <c r="D23" s="52"/>
      <c r="E23" s="52"/>
      <c r="F23" s="52"/>
      <c r="G23" s="52"/>
      <c r="H23" s="52"/>
      <c r="I23" s="52"/>
      <c r="J23" s="52"/>
      <c r="K23" s="52"/>
      <c r="L23" s="53"/>
      <c r="M23" s="45"/>
      <c r="O23" t="s">
        <v>249</v>
      </c>
      <c r="P23" s="41">
        <f>IFERROR((COUNTIF($M$23:$M$27,"Done")+0.5*COUNTIF($M$23:$M$27,"In Progress"))/COUNTIF($M$23:$M$27,"&lt;&gt;"),0)</f>
        <v>0</v>
      </c>
    </row>
    <row r="24" spans="1:16" ht="21.95" customHeight="1" x14ac:dyDescent="0.25">
      <c r="B24" s="39" t="s">
        <v>251</v>
      </c>
      <c r="C24" s="61" t="s">
        <v>253</v>
      </c>
      <c r="D24" s="52"/>
      <c r="E24" s="52"/>
      <c r="F24" s="52"/>
      <c r="G24" s="52"/>
      <c r="H24" s="52"/>
      <c r="I24" s="52"/>
      <c r="J24" s="52"/>
      <c r="K24" s="52"/>
      <c r="L24" s="53"/>
      <c r="M24" s="45"/>
      <c r="O24" t="s">
        <v>254</v>
      </c>
      <c r="P24" s="41">
        <f>IFERROR((COUNTIF($M$30:$M$33,"Done")+0.5*COUNTIF($M$30:$M$33,"In Progress"))/COUNTIF($M$30:$M$33,"&lt;&gt;"),0)</f>
        <v>0</v>
      </c>
    </row>
    <row r="25" spans="1:16" ht="21.95" customHeight="1" x14ac:dyDescent="0.25">
      <c r="B25" s="39" t="s">
        <v>251</v>
      </c>
      <c r="C25" s="61" t="s">
        <v>255</v>
      </c>
      <c r="D25" s="52"/>
      <c r="E25" s="52"/>
      <c r="F25" s="52"/>
      <c r="G25" s="52"/>
      <c r="H25" s="52"/>
      <c r="I25" s="52"/>
      <c r="J25" s="52"/>
      <c r="K25" s="52"/>
      <c r="L25" s="53"/>
      <c r="M25" s="45"/>
      <c r="O25" t="s">
        <v>256</v>
      </c>
      <c r="P25" s="41">
        <f>IFERROR((COUNTIF($M$36:$M$37,"Done")+0.5*COUNTIF($M$36:$M$37,"In Progress"))/COUNTIF($M$36:$M$37,"&lt;&gt;"),0)</f>
        <v>0</v>
      </c>
    </row>
    <row r="26" spans="1:16" ht="21.95" customHeight="1" x14ac:dyDescent="0.25">
      <c r="B26" s="39" t="s">
        <v>251</v>
      </c>
      <c r="C26" s="61" t="s">
        <v>257</v>
      </c>
      <c r="D26" s="52"/>
      <c r="E26" s="52"/>
      <c r="F26" s="52"/>
      <c r="G26" s="52"/>
      <c r="H26" s="52"/>
      <c r="I26" s="52"/>
      <c r="J26" s="52"/>
      <c r="K26" s="52"/>
      <c r="L26" s="53"/>
      <c r="M26" s="45"/>
      <c r="O26" t="s">
        <v>258</v>
      </c>
      <c r="P26" s="41">
        <f>IFERROR((COUNTIF($M$40:$M$43,"Done")+0.5*COUNTIF($M$40:$M$43,"In Progress"))/COUNTIF($M$40:$M$43,"&lt;&gt;"),0)</f>
        <v>0</v>
      </c>
    </row>
    <row r="27" spans="1:16" ht="21.95" customHeight="1" x14ac:dyDescent="0.25">
      <c r="B27" s="39" t="s">
        <v>251</v>
      </c>
      <c r="C27" s="61" t="s">
        <v>259</v>
      </c>
      <c r="D27" s="52"/>
      <c r="E27" s="52"/>
      <c r="F27" s="52"/>
      <c r="G27" s="52"/>
      <c r="H27" s="52"/>
      <c r="I27" s="52"/>
      <c r="J27" s="52"/>
      <c r="K27" s="52"/>
      <c r="L27" s="53"/>
      <c r="M27" s="45"/>
    </row>
    <row r="29" spans="1:16" ht="20.100000000000001" customHeight="1" x14ac:dyDescent="0.25">
      <c r="B29" s="63" t="s">
        <v>254</v>
      </c>
      <c r="C29" s="52"/>
      <c r="D29" s="52"/>
      <c r="E29" s="52"/>
      <c r="F29" s="52"/>
      <c r="G29" s="52"/>
      <c r="H29" s="52"/>
      <c r="I29" s="52"/>
      <c r="J29" s="52"/>
      <c r="K29" s="52"/>
      <c r="L29" s="53"/>
    </row>
    <row r="30" spans="1:16" ht="21.95" customHeight="1" x14ac:dyDescent="0.25">
      <c r="B30" s="39" t="s">
        <v>251</v>
      </c>
      <c r="C30" s="61" t="s">
        <v>260</v>
      </c>
      <c r="D30" s="52"/>
      <c r="E30" s="52"/>
      <c r="F30" s="52"/>
      <c r="G30" s="52"/>
      <c r="H30" s="52"/>
      <c r="I30" s="52"/>
      <c r="J30" s="52"/>
      <c r="K30" s="52"/>
      <c r="L30" s="53"/>
      <c r="M30" s="45"/>
    </row>
    <row r="31" spans="1:16" ht="21.95" customHeight="1" x14ac:dyDescent="0.25">
      <c r="B31" s="39" t="s">
        <v>251</v>
      </c>
      <c r="C31" s="61" t="s">
        <v>261</v>
      </c>
      <c r="D31" s="52"/>
      <c r="E31" s="52"/>
      <c r="F31" s="52"/>
      <c r="G31" s="52"/>
      <c r="H31" s="52"/>
      <c r="I31" s="52"/>
      <c r="J31" s="52"/>
      <c r="K31" s="52"/>
      <c r="L31" s="53"/>
      <c r="M31" s="45"/>
    </row>
    <row r="32" spans="1:16" ht="21.95" customHeight="1" x14ac:dyDescent="0.25">
      <c r="B32" s="39" t="s">
        <v>251</v>
      </c>
      <c r="C32" s="61" t="s">
        <v>262</v>
      </c>
      <c r="D32" s="52"/>
      <c r="E32" s="52"/>
      <c r="F32" s="52"/>
      <c r="G32" s="52"/>
      <c r="H32" s="52"/>
      <c r="I32" s="52"/>
      <c r="J32" s="52"/>
      <c r="K32" s="52"/>
      <c r="L32" s="53"/>
      <c r="M32" s="45"/>
    </row>
    <row r="33" spans="1:13" ht="21.95" customHeight="1" x14ac:dyDescent="0.25">
      <c r="B33" s="39" t="s">
        <v>251</v>
      </c>
      <c r="C33" s="61" t="s">
        <v>263</v>
      </c>
      <c r="D33" s="52"/>
      <c r="E33" s="52"/>
      <c r="F33" s="52"/>
      <c r="G33" s="52"/>
      <c r="H33" s="52"/>
      <c r="I33" s="52"/>
      <c r="J33" s="52"/>
      <c r="K33" s="52"/>
      <c r="L33" s="53"/>
      <c r="M33" s="45"/>
    </row>
    <row r="35" spans="1:13" ht="20.100000000000001" customHeight="1" x14ac:dyDescent="0.25">
      <c r="B35" s="63" t="s">
        <v>256</v>
      </c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3" ht="21.95" customHeight="1" x14ac:dyDescent="0.25">
      <c r="B36" s="39" t="s">
        <v>251</v>
      </c>
      <c r="C36" s="61" t="s">
        <v>264</v>
      </c>
      <c r="D36" s="52"/>
      <c r="E36" s="52"/>
      <c r="F36" s="52"/>
      <c r="G36" s="52"/>
      <c r="H36" s="52"/>
      <c r="I36" s="52"/>
      <c r="J36" s="52"/>
      <c r="K36" s="52"/>
      <c r="L36" s="53"/>
      <c r="M36" s="45"/>
    </row>
    <row r="37" spans="1:13" ht="21.95" customHeight="1" x14ac:dyDescent="0.25">
      <c r="B37" s="39" t="s">
        <v>251</v>
      </c>
      <c r="C37" s="61" t="s">
        <v>265</v>
      </c>
      <c r="D37" s="52"/>
      <c r="E37" s="52"/>
      <c r="F37" s="52"/>
      <c r="G37" s="52"/>
      <c r="H37" s="52"/>
      <c r="I37" s="52"/>
      <c r="J37" s="52"/>
      <c r="K37" s="52"/>
      <c r="L37" s="53"/>
      <c r="M37" s="45"/>
    </row>
    <row r="39" spans="1:13" ht="20.100000000000001" customHeight="1" x14ac:dyDescent="0.25">
      <c r="B39" s="63" t="s">
        <v>258</v>
      </c>
      <c r="C39" s="52"/>
      <c r="D39" s="52"/>
      <c r="E39" s="52"/>
      <c r="F39" s="52"/>
      <c r="G39" s="52"/>
      <c r="H39" s="52"/>
      <c r="I39" s="52"/>
      <c r="J39" s="52"/>
      <c r="K39" s="52"/>
      <c r="L39" s="53"/>
    </row>
    <row r="40" spans="1:13" ht="21.95" customHeight="1" x14ac:dyDescent="0.25">
      <c r="B40" s="39" t="s">
        <v>251</v>
      </c>
      <c r="C40" s="61" t="s">
        <v>266</v>
      </c>
      <c r="D40" s="52"/>
      <c r="E40" s="52"/>
      <c r="F40" s="52"/>
      <c r="G40" s="52"/>
      <c r="H40" s="52"/>
      <c r="I40" s="52"/>
      <c r="J40" s="52"/>
      <c r="K40" s="52"/>
      <c r="L40" s="53"/>
      <c r="M40" s="45"/>
    </row>
    <row r="41" spans="1:13" ht="21.95" customHeight="1" x14ac:dyDescent="0.25">
      <c r="B41" s="39" t="s">
        <v>251</v>
      </c>
      <c r="C41" s="61" t="s">
        <v>267</v>
      </c>
      <c r="D41" s="52"/>
      <c r="E41" s="52"/>
      <c r="F41" s="52"/>
      <c r="G41" s="52"/>
      <c r="H41" s="52"/>
      <c r="I41" s="52"/>
      <c r="J41" s="52"/>
      <c r="K41" s="52"/>
      <c r="L41" s="53"/>
      <c r="M41" s="45"/>
    </row>
    <row r="42" spans="1:13" ht="21.95" customHeight="1" x14ac:dyDescent="0.25">
      <c r="B42" s="39" t="s">
        <v>251</v>
      </c>
      <c r="C42" s="61" t="s">
        <v>268</v>
      </c>
      <c r="D42" s="52"/>
      <c r="E42" s="52"/>
      <c r="F42" s="52"/>
      <c r="G42" s="52"/>
      <c r="H42" s="52"/>
      <c r="I42" s="52"/>
      <c r="J42" s="52"/>
      <c r="K42" s="52"/>
      <c r="L42" s="53"/>
      <c r="M42" s="45"/>
    </row>
    <row r="43" spans="1:13" ht="21.95" customHeight="1" x14ac:dyDescent="0.25">
      <c r="B43" s="39" t="s">
        <v>251</v>
      </c>
      <c r="C43" s="61" t="s">
        <v>269</v>
      </c>
      <c r="D43" s="52"/>
      <c r="E43" s="52"/>
      <c r="F43" s="52"/>
      <c r="G43" s="52"/>
      <c r="H43" s="52"/>
      <c r="I43" s="52"/>
      <c r="J43" s="52"/>
      <c r="K43" s="52"/>
      <c r="L43" s="53"/>
      <c r="M43" s="45"/>
    </row>
    <row r="45" spans="1:13" ht="21.95" customHeight="1" x14ac:dyDescent="0.25">
      <c r="A45" s="64" t="s">
        <v>270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3"/>
    </row>
    <row r="46" spans="1:13" ht="33.950000000000003" customHeight="1" x14ac:dyDescent="0.25">
      <c r="A46" s="62" t="s">
        <v>271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3"/>
    </row>
  </sheetData>
  <mergeCells count="37">
    <mergeCell ref="A1:L1"/>
    <mergeCell ref="A45:L45"/>
    <mergeCell ref="C43:L43"/>
    <mergeCell ref="C12:L12"/>
    <mergeCell ref="C36:L36"/>
    <mergeCell ref="C11:L11"/>
    <mergeCell ref="A2:L2"/>
    <mergeCell ref="C37:L37"/>
    <mergeCell ref="B39:L39"/>
    <mergeCell ref="A5:L5"/>
    <mergeCell ref="C30:L30"/>
    <mergeCell ref="C15:L15"/>
    <mergeCell ref="C24:L24"/>
    <mergeCell ref="C33:L33"/>
    <mergeCell ref="C14:L14"/>
    <mergeCell ref="A20:L20"/>
    <mergeCell ref="B29:L29"/>
    <mergeCell ref="C26:L26"/>
    <mergeCell ref="C10:L10"/>
    <mergeCell ref="C16:L16"/>
    <mergeCell ref="C25:L25"/>
    <mergeCell ref="C31:L31"/>
    <mergeCell ref="A46:L46"/>
    <mergeCell ref="B22:L22"/>
    <mergeCell ref="C32:L32"/>
    <mergeCell ref="A3:L3"/>
    <mergeCell ref="C13:L13"/>
    <mergeCell ref="C42:L42"/>
    <mergeCell ref="C41:L41"/>
    <mergeCell ref="C40:L40"/>
    <mergeCell ref="C9:L9"/>
    <mergeCell ref="C27:L27"/>
    <mergeCell ref="B35:L35"/>
    <mergeCell ref="A7:L7"/>
    <mergeCell ref="B9"/>
    <mergeCell ref="C23:L23"/>
    <mergeCell ref="C17:L17"/>
  </mergeCells>
  <conditionalFormatting sqref="M10:M17">
    <cfRule type="expression" dxfId="19" priority="1" stopIfTrue="1">
      <formula>M10="Done"</formula>
    </cfRule>
    <cfRule type="expression" dxfId="18" priority="2" stopIfTrue="1">
      <formula>M10="In Progress"</formula>
    </cfRule>
    <cfRule type="expression" dxfId="17" priority="3" stopIfTrue="1">
      <formula>M10="Not Started"</formula>
    </cfRule>
    <cfRule type="expression" dxfId="16" priority="4" stopIfTrue="1">
      <formula>M10="Blocked"</formula>
    </cfRule>
  </conditionalFormatting>
  <conditionalFormatting sqref="M23:M27">
    <cfRule type="expression" dxfId="15" priority="5" stopIfTrue="1">
      <formula>M23="Done"</formula>
    </cfRule>
    <cfRule type="expression" dxfId="14" priority="6" stopIfTrue="1">
      <formula>M23="In Progress"</formula>
    </cfRule>
    <cfRule type="expression" dxfId="13" priority="7" stopIfTrue="1">
      <formula>M23="Not Started"</formula>
    </cfRule>
    <cfRule type="expression" dxfId="12" priority="8" stopIfTrue="1">
      <formula>M23="Blocked"</formula>
    </cfRule>
  </conditionalFormatting>
  <conditionalFormatting sqref="M30:M33">
    <cfRule type="expression" dxfId="11" priority="9" stopIfTrue="1">
      <formula>M30="Done"</formula>
    </cfRule>
    <cfRule type="expression" dxfId="10" priority="10" stopIfTrue="1">
      <formula>M30="In Progress"</formula>
    </cfRule>
    <cfRule type="expression" dxfId="9" priority="11" stopIfTrue="1">
      <formula>M30="Not Started"</formula>
    </cfRule>
    <cfRule type="expression" dxfId="8" priority="12" stopIfTrue="1">
      <formula>M30="Blocked"</formula>
    </cfRule>
  </conditionalFormatting>
  <conditionalFormatting sqref="M36:M37">
    <cfRule type="expression" dxfId="7" priority="13" stopIfTrue="1">
      <formula>M36="Done"</formula>
    </cfRule>
    <cfRule type="expression" dxfId="6" priority="14" stopIfTrue="1">
      <formula>M36="In Progress"</formula>
    </cfRule>
    <cfRule type="expression" dxfId="5" priority="15" stopIfTrue="1">
      <formula>M36="Not Started"</formula>
    </cfRule>
    <cfRule type="expression" dxfId="4" priority="16" stopIfTrue="1">
      <formula>M36="Blocked"</formula>
    </cfRule>
  </conditionalFormatting>
  <conditionalFormatting sqref="M40:M43">
    <cfRule type="expression" dxfId="3" priority="17" stopIfTrue="1">
      <formula>M40="Done"</formula>
    </cfRule>
    <cfRule type="expression" dxfId="2" priority="18" stopIfTrue="1">
      <formula>M40="In Progress"</formula>
    </cfRule>
    <cfRule type="expression" dxfId="1" priority="19" stopIfTrue="1">
      <formula>M40="Not Started"</formula>
    </cfRule>
    <cfRule type="expression" dxfId="0" priority="20" stopIfTrue="1">
      <formula>M40="Blocked"</formula>
    </cfRule>
  </conditionalFormatting>
  <conditionalFormatting sqref="N6">
    <cfRule type="dataBar" priority="21">
      <dataBar>
        <cfvo type="num" val="0"/>
        <cfvo type="num" val="1"/>
        <color rgb="FF845EF7"/>
      </dataBar>
    </cfRule>
  </conditionalFormatting>
  <dataValidations count="1">
    <dataValidation type="list" allowBlank="1" showDropDown="1" sqref="M10:M17 M40:M43 M36:M37 M30:M33 M23:M27" xr:uid="{00000000-0002-0000-0300-000000000000}">
      <formula1>"Not Started,In Progress,Done,Blocked"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workbookViewId="0"/>
  </sheetViews>
  <sheetFormatPr defaultRowHeight="15" x14ac:dyDescent="0.25"/>
  <cols>
    <col min="1" max="1" width="17.7109375" customWidth="1"/>
    <col min="2" max="2" width="10.42578125" customWidth="1"/>
    <col min="3" max="3" width="23.5703125" customWidth="1"/>
    <col min="5" max="5" width="14.5703125" customWidth="1"/>
    <col min="6" max="6" width="16.28515625" customWidth="1"/>
    <col min="7" max="7" width="17.7109375" customWidth="1"/>
    <col min="8" max="8" width="22.5703125" customWidth="1"/>
    <col min="9" max="9" width="6.7109375" customWidth="1"/>
    <col min="11" max="11" width="43.140625" customWidth="1"/>
    <col min="12" max="12" width="15.5703125" customWidth="1"/>
    <col min="14" max="14" width="25.7109375" customWidth="1"/>
    <col min="15" max="15" width="28.42578125" customWidth="1"/>
  </cols>
  <sheetData>
    <row r="1" spans="1:15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x14ac:dyDescent="0.25">
      <c r="A3" s="21" t="s">
        <v>272</v>
      </c>
      <c r="B3" s="21" t="s">
        <v>273</v>
      </c>
      <c r="C3" s="22" t="s">
        <v>274</v>
      </c>
      <c r="D3" s="23" t="s">
        <v>275</v>
      </c>
      <c r="E3" s="24" t="s">
        <v>276</v>
      </c>
      <c r="F3" s="24" t="s">
        <v>277</v>
      </c>
      <c r="G3" s="21" t="s">
        <v>278</v>
      </c>
      <c r="H3" s="21" t="s">
        <v>279</v>
      </c>
      <c r="I3" s="25" t="s">
        <v>280</v>
      </c>
      <c r="J3" s="26"/>
      <c r="K3" s="21" t="s">
        <v>281</v>
      </c>
      <c r="L3" s="21"/>
      <c r="M3" s="26"/>
      <c r="N3" s="21" t="s">
        <v>282</v>
      </c>
      <c r="O3" s="21" t="s">
        <v>283</v>
      </c>
    </row>
    <row r="4" spans="1:15" x14ac:dyDescent="0.25">
      <c r="A4" s="27">
        <v>1</v>
      </c>
      <c r="B4" s="27" t="s">
        <v>284</v>
      </c>
      <c r="C4" s="28">
        <f t="shared" ref="C4:C19" si="0">IF(RIGHT(TRIM(B4),2)="mV",VALUE(LEFT(TRIM(B4),LEN(TRIM(B4))-2))/1000,IF(RIGHT(TRIM(B4),1)="V",VALUE(LEFT(TRIM(B4),LEN(TRIM(B4))-1)),""))</f>
        <v>4.8000000000000001E-2</v>
      </c>
      <c r="D4" s="29">
        <f t="shared" ref="D4:D19" si="1">ABS(C4-$F$4)</f>
        <v>0.80879999999999985</v>
      </c>
      <c r="E4" s="30">
        <f>INDEX($A$4:$A$19, MATCH(MIN($D$4:$D$19), $D$4:$D$19, 0))</f>
        <v>15</v>
      </c>
      <c r="F4" s="31">
        <f>0.7*MAX($C$4:$C$19)</f>
        <v>0.8567999999999999</v>
      </c>
      <c r="G4" s="28">
        <f>INDEX($C$4:$C$19, MATCH($E$4, $A$4:$A$19, 0))</f>
        <v>0.872</v>
      </c>
      <c r="H4" s="27">
        <f>G4-F4</f>
        <v>1.5200000000000102E-2</v>
      </c>
      <c r="I4" s="32">
        <f>(G4-F4)/F4</f>
        <v>1.7740429505135508E-2</v>
      </c>
      <c r="J4" s="20"/>
      <c r="K4" s="27" t="s">
        <v>285</v>
      </c>
      <c r="L4" s="27" t="s">
        <v>286</v>
      </c>
      <c r="M4" s="20"/>
      <c r="N4" s="27">
        <v>1</v>
      </c>
      <c r="O4" s="28">
        <f>$F$4</f>
        <v>0.8567999999999999</v>
      </c>
    </row>
    <row r="5" spans="1:15" x14ac:dyDescent="0.25">
      <c r="A5" s="27">
        <v>2</v>
      </c>
      <c r="B5" s="27" t="s">
        <v>284</v>
      </c>
      <c r="C5" s="28">
        <f t="shared" si="0"/>
        <v>4.8000000000000001E-2</v>
      </c>
      <c r="D5" s="29">
        <f t="shared" si="1"/>
        <v>0.80879999999999985</v>
      </c>
      <c r="E5" s="20"/>
      <c r="F5" s="20"/>
      <c r="G5" s="20"/>
      <c r="H5" s="20"/>
      <c r="I5" s="20"/>
      <c r="J5" s="20"/>
      <c r="K5" s="27" t="s">
        <v>287</v>
      </c>
      <c r="L5" s="27">
        <v>440</v>
      </c>
      <c r="M5" s="20"/>
      <c r="N5" s="27">
        <v>16</v>
      </c>
      <c r="O5" s="28">
        <f>$F$4</f>
        <v>0.8567999999999999</v>
      </c>
    </row>
    <row r="6" spans="1:15" x14ac:dyDescent="0.25">
      <c r="A6" s="27">
        <v>3</v>
      </c>
      <c r="B6" s="27" t="s">
        <v>284</v>
      </c>
      <c r="C6" s="28">
        <f t="shared" si="0"/>
        <v>4.8000000000000001E-2</v>
      </c>
      <c r="D6" s="29">
        <f t="shared" si="1"/>
        <v>0.80879999999999985</v>
      </c>
      <c r="E6" s="20"/>
      <c r="F6" s="20"/>
      <c r="G6" s="20"/>
      <c r="H6" s="20"/>
      <c r="I6" s="20"/>
      <c r="J6" s="20"/>
      <c r="K6" s="27" t="s">
        <v>288</v>
      </c>
      <c r="L6" s="27" t="s">
        <v>289</v>
      </c>
      <c r="M6" s="20"/>
      <c r="N6" s="33"/>
      <c r="O6" s="33"/>
    </row>
    <row r="7" spans="1:15" x14ac:dyDescent="0.25">
      <c r="A7" s="27">
        <v>4</v>
      </c>
      <c r="B7" s="27" t="s">
        <v>284</v>
      </c>
      <c r="C7" s="28">
        <f t="shared" si="0"/>
        <v>4.8000000000000001E-2</v>
      </c>
      <c r="D7" s="29">
        <f t="shared" si="1"/>
        <v>0.80879999999999985</v>
      </c>
      <c r="E7" s="20"/>
      <c r="F7" s="20"/>
      <c r="G7" s="20"/>
      <c r="H7" s="20"/>
      <c r="I7" s="20"/>
      <c r="J7" s="20"/>
      <c r="K7" s="27" t="s">
        <v>290</v>
      </c>
      <c r="L7" s="27" t="s">
        <v>291</v>
      </c>
      <c r="M7" s="20"/>
      <c r="N7" s="30">
        <f>$E$4</f>
        <v>15</v>
      </c>
      <c r="O7" s="34">
        <f>$G$4</f>
        <v>0.872</v>
      </c>
    </row>
    <row r="8" spans="1:15" x14ac:dyDescent="0.25">
      <c r="A8" s="27">
        <v>5</v>
      </c>
      <c r="B8" s="27" t="s">
        <v>284</v>
      </c>
      <c r="C8" s="28">
        <f t="shared" si="0"/>
        <v>4.8000000000000001E-2</v>
      </c>
      <c r="D8" s="29">
        <f t="shared" si="1"/>
        <v>0.80879999999999985</v>
      </c>
      <c r="E8" s="20"/>
      <c r="F8" s="20"/>
      <c r="G8" s="20"/>
      <c r="H8" s="20"/>
      <c r="I8" s="20"/>
      <c r="J8" s="20"/>
      <c r="K8" s="27" t="s">
        <v>292</v>
      </c>
      <c r="L8" s="28">
        <f>MAX($C$4:$C$19)</f>
        <v>1.224</v>
      </c>
      <c r="M8" s="20"/>
      <c r="N8" s="20"/>
      <c r="O8" s="20"/>
    </row>
    <row r="9" spans="1:15" x14ac:dyDescent="0.25">
      <c r="A9" s="27">
        <v>6</v>
      </c>
      <c r="B9" s="27" t="s">
        <v>284</v>
      </c>
      <c r="C9" s="28">
        <f t="shared" si="0"/>
        <v>4.8000000000000001E-2</v>
      </c>
      <c r="D9" s="29">
        <f t="shared" si="1"/>
        <v>0.80879999999999985</v>
      </c>
      <c r="E9" s="20"/>
      <c r="F9" s="20"/>
      <c r="G9" s="20"/>
      <c r="H9" s="20"/>
      <c r="I9" s="20"/>
      <c r="J9" s="20"/>
      <c r="K9" s="27" t="s">
        <v>293</v>
      </c>
      <c r="L9" s="28">
        <f>$F$4</f>
        <v>0.8567999999999999</v>
      </c>
      <c r="M9" s="20"/>
      <c r="N9" s="20"/>
      <c r="O9" s="20"/>
    </row>
    <row r="10" spans="1:15" x14ac:dyDescent="0.25">
      <c r="A10" s="27">
        <v>7</v>
      </c>
      <c r="B10" s="27" t="s">
        <v>294</v>
      </c>
      <c r="C10" s="28">
        <f t="shared" si="0"/>
        <v>5.6000000000000001E-2</v>
      </c>
      <c r="D10" s="29">
        <f t="shared" si="1"/>
        <v>0.80079999999999985</v>
      </c>
      <c r="E10" s="20"/>
      <c r="F10" s="20"/>
      <c r="G10" s="20"/>
      <c r="H10" s="20"/>
      <c r="I10" s="20"/>
      <c r="J10" s="20"/>
      <c r="K10" s="27" t="s">
        <v>295</v>
      </c>
      <c r="L10" s="30" t="str">
        <f>"Step "&amp;$E$4</f>
        <v>Step 15</v>
      </c>
      <c r="M10" s="20"/>
      <c r="N10" s="20"/>
      <c r="O10" s="20"/>
    </row>
    <row r="11" spans="1:15" x14ac:dyDescent="0.25">
      <c r="A11" s="27">
        <v>8</v>
      </c>
      <c r="B11" s="27" t="s">
        <v>296</v>
      </c>
      <c r="C11" s="28">
        <f t="shared" si="0"/>
        <v>7.1999999999999995E-2</v>
      </c>
      <c r="D11" s="29">
        <f t="shared" si="1"/>
        <v>0.78479999999999994</v>
      </c>
      <c r="E11" s="20"/>
      <c r="F11" s="20"/>
      <c r="G11" s="20"/>
      <c r="H11" s="20"/>
      <c r="I11" s="20"/>
      <c r="J11" s="20"/>
      <c r="K11" s="27" t="s">
        <v>278</v>
      </c>
      <c r="L11" s="28">
        <f>$G$4</f>
        <v>0.872</v>
      </c>
      <c r="M11" s="20"/>
      <c r="N11" s="20"/>
      <c r="O11" s="20"/>
    </row>
    <row r="12" spans="1:15" x14ac:dyDescent="0.25">
      <c r="A12" s="27">
        <v>9</v>
      </c>
      <c r="B12" s="27" t="s">
        <v>297</v>
      </c>
      <c r="C12" s="28">
        <f t="shared" si="0"/>
        <v>0.104</v>
      </c>
      <c r="D12" s="29">
        <f t="shared" si="1"/>
        <v>0.75279999999999991</v>
      </c>
      <c r="E12" s="20"/>
      <c r="F12" s="20"/>
      <c r="G12" s="20"/>
      <c r="H12" s="20"/>
      <c r="I12" s="20"/>
      <c r="J12" s="20"/>
      <c r="K12" s="27" t="s">
        <v>279</v>
      </c>
      <c r="L12" s="28">
        <f>$H$4</f>
        <v>1.5200000000000102E-2</v>
      </c>
      <c r="M12" s="20"/>
      <c r="N12" s="20"/>
      <c r="O12" s="20"/>
    </row>
    <row r="13" spans="1:15" x14ac:dyDescent="0.25">
      <c r="A13" s="27">
        <v>10</v>
      </c>
      <c r="B13" s="27" t="s">
        <v>298</v>
      </c>
      <c r="C13" s="28">
        <f t="shared" si="0"/>
        <v>0.152</v>
      </c>
      <c r="D13" s="29">
        <f t="shared" si="1"/>
        <v>0.70479999999999987</v>
      </c>
      <c r="E13" s="20"/>
      <c r="F13" s="20"/>
      <c r="G13" s="20"/>
      <c r="H13" s="20"/>
      <c r="I13" s="20"/>
      <c r="J13" s="20"/>
      <c r="K13" s="27" t="s">
        <v>299</v>
      </c>
      <c r="L13" s="32">
        <f>$I$4</f>
        <v>1.7740429505135508E-2</v>
      </c>
      <c r="M13" s="20"/>
      <c r="N13" s="20"/>
      <c r="O13" s="20"/>
    </row>
    <row r="14" spans="1:15" x14ac:dyDescent="0.25">
      <c r="A14" s="27">
        <v>11</v>
      </c>
      <c r="B14" s="27" t="s">
        <v>300</v>
      </c>
      <c r="C14" s="28">
        <f t="shared" si="0"/>
        <v>0.20799999999999999</v>
      </c>
      <c r="D14" s="29">
        <f t="shared" si="1"/>
        <v>0.64879999999999993</v>
      </c>
      <c r="E14" s="20"/>
      <c r="F14" s="20"/>
      <c r="G14" s="20"/>
      <c r="H14" s="20"/>
      <c r="I14" s="20"/>
      <c r="J14" s="20"/>
      <c r="K14" s="27" t="s">
        <v>301</v>
      </c>
      <c r="L14" s="28">
        <f>$G$4/(2*SQRT(2))</f>
        <v>0.30829855659733468</v>
      </c>
      <c r="M14" s="20"/>
      <c r="N14" s="20"/>
      <c r="O14" s="20"/>
    </row>
    <row r="15" spans="1:15" x14ac:dyDescent="0.25">
      <c r="A15" s="27">
        <v>12</v>
      </c>
      <c r="B15" s="27" t="s">
        <v>302</v>
      </c>
      <c r="C15" s="28">
        <f t="shared" si="0"/>
        <v>0.32</v>
      </c>
      <c r="D15" s="29">
        <f t="shared" si="1"/>
        <v>0.53679999999999994</v>
      </c>
      <c r="E15" s="20"/>
      <c r="F15" s="20"/>
      <c r="G15" s="20"/>
      <c r="H15" s="20"/>
      <c r="I15" s="20"/>
      <c r="J15" s="20"/>
      <c r="K15" s="27" t="s">
        <v>303</v>
      </c>
      <c r="L15" s="28">
        <f>$G$4</f>
        <v>0.872</v>
      </c>
      <c r="M15" s="20"/>
      <c r="N15" s="20"/>
      <c r="O15" s="20"/>
    </row>
    <row r="16" spans="1:15" x14ac:dyDescent="0.25">
      <c r="A16" s="27">
        <v>13</v>
      </c>
      <c r="B16" s="27" t="s">
        <v>304</v>
      </c>
      <c r="C16" s="28">
        <f t="shared" si="0"/>
        <v>0.44800000000000001</v>
      </c>
      <c r="D16" s="29">
        <f t="shared" si="1"/>
        <v>0.40879999999999989</v>
      </c>
      <c r="E16" s="20"/>
      <c r="F16" s="20"/>
      <c r="G16" s="20"/>
      <c r="H16" s="20"/>
      <c r="I16" s="20"/>
      <c r="J16" s="20"/>
      <c r="K16" s="27" t="s">
        <v>305</v>
      </c>
      <c r="L16" s="28">
        <f>$L$14</f>
        <v>0.30829855659733468</v>
      </c>
      <c r="M16" s="20"/>
      <c r="N16" s="20"/>
      <c r="O16" s="20"/>
    </row>
    <row r="17" spans="1:15" x14ac:dyDescent="0.25">
      <c r="A17" s="27">
        <v>14</v>
      </c>
      <c r="B17" s="27" t="s">
        <v>306</v>
      </c>
      <c r="C17" s="28">
        <f t="shared" si="0"/>
        <v>0.624</v>
      </c>
      <c r="D17" s="29">
        <f t="shared" si="1"/>
        <v>0.2327999999999999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x14ac:dyDescent="0.25">
      <c r="A18" s="27">
        <v>15</v>
      </c>
      <c r="B18" s="27" t="s">
        <v>307</v>
      </c>
      <c r="C18" s="28">
        <f t="shared" si="0"/>
        <v>0.872</v>
      </c>
      <c r="D18" s="29">
        <f t="shared" si="1"/>
        <v>1.5200000000000102E-2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1:15" x14ac:dyDescent="0.25">
      <c r="A19" s="27">
        <v>16</v>
      </c>
      <c r="B19" s="27" t="s">
        <v>308</v>
      </c>
      <c r="C19" s="28">
        <f t="shared" si="0"/>
        <v>1.224</v>
      </c>
      <c r="D19" s="29">
        <f t="shared" si="1"/>
        <v>0.36720000000000008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x14ac:dyDescent="0.25">
      <c r="A20" s="33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 x14ac:dyDescent="0.25">
      <c r="A21" s="33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5"/>
  <sheetViews>
    <sheetView workbookViewId="0"/>
  </sheetViews>
  <sheetFormatPr defaultRowHeight="15" x14ac:dyDescent="0.25"/>
  <cols>
    <col min="1" max="1" width="30.140625" customWidth="1"/>
    <col min="2" max="2" width="12" customWidth="1"/>
    <col min="3" max="3" width="5.7109375" customWidth="1"/>
    <col min="4" max="4" width="38.85546875" customWidth="1"/>
  </cols>
  <sheetData>
    <row r="1" spans="1:4" x14ac:dyDescent="0.25">
      <c r="A1" s="21" t="s">
        <v>309</v>
      </c>
      <c r="B1" s="21" t="s">
        <v>310</v>
      </c>
      <c r="C1" s="21" t="s">
        <v>311</v>
      </c>
      <c r="D1" s="21" t="s">
        <v>312</v>
      </c>
    </row>
    <row r="2" spans="1:4" x14ac:dyDescent="0.25">
      <c r="A2" s="65" t="s">
        <v>313</v>
      </c>
      <c r="B2" s="66"/>
      <c r="C2" s="66"/>
      <c r="D2" s="67"/>
    </row>
    <row r="3" spans="1:4" x14ac:dyDescent="0.25">
      <c r="A3" s="27" t="s">
        <v>314</v>
      </c>
      <c r="B3" s="27">
        <f>'MB Phone Characterisation'!L8</f>
        <v>1.224</v>
      </c>
      <c r="C3" s="27" t="s">
        <v>315</v>
      </c>
      <c r="D3" s="27"/>
    </row>
    <row r="4" spans="1:4" x14ac:dyDescent="0.25">
      <c r="A4" s="27" t="s">
        <v>316</v>
      </c>
      <c r="B4" s="27">
        <f>0.7*B3</f>
        <v>0.8567999999999999</v>
      </c>
      <c r="C4" s="27" t="s">
        <v>315</v>
      </c>
      <c r="D4" s="27"/>
    </row>
    <row r="5" spans="1:4" x14ac:dyDescent="0.25">
      <c r="A5" s="27" t="s">
        <v>317</v>
      </c>
      <c r="B5" s="27">
        <f>'MB Phone Characterisation'!L15</f>
        <v>0.872</v>
      </c>
      <c r="C5" s="27" t="s">
        <v>315</v>
      </c>
      <c r="D5" s="27"/>
    </row>
    <row r="6" spans="1:4" x14ac:dyDescent="0.25">
      <c r="A6" s="27" t="s">
        <v>318</v>
      </c>
      <c r="B6" s="27">
        <f>'MB Phone Characterisation'!L16</f>
        <v>0.30829855659733468</v>
      </c>
      <c r="C6" s="27" t="s">
        <v>315</v>
      </c>
      <c r="D6" s="27"/>
    </row>
    <row r="7" spans="1:4" x14ac:dyDescent="0.25">
      <c r="A7" s="65" t="s">
        <v>319</v>
      </c>
      <c r="B7" s="66"/>
      <c r="C7" s="66"/>
      <c r="D7" s="67"/>
    </row>
    <row r="8" spans="1:4" x14ac:dyDescent="0.25">
      <c r="A8" s="27" t="s">
        <v>320</v>
      </c>
      <c r="B8" s="27">
        <v>3</v>
      </c>
      <c r="C8" s="27" t="s">
        <v>315</v>
      </c>
      <c r="D8" s="27"/>
    </row>
    <row r="9" spans="1:4" x14ac:dyDescent="0.25">
      <c r="A9" s="27" t="s">
        <v>321</v>
      </c>
      <c r="B9" s="27">
        <f>B8/B5</f>
        <v>3.4403669724770642</v>
      </c>
      <c r="C9" s="27" t="s">
        <v>322</v>
      </c>
      <c r="D9" s="27"/>
    </row>
    <row r="10" spans="1:4" x14ac:dyDescent="0.25">
      <c r="A10" s="27" t="s">
        <v>323</v>
      </c>
      <c r="B10" s="27">
        <f>20*LOG10(B9)</f>
        <v>10.732095395741904</v>
      </c>
      <c r="C10" s="27" t="s">
        <v>324</v>
      </c>
      <c r="D10" s="27"/>
    </row>
    <row r="11" spans="1:4" x14ac:dyDescent="0.25">
      <c r="A11" s="27"/>
      <c r="B11" s="27"/>
      <c r="C11" s="27"/>
      <c r="D11" s="27"/>
    </row>
    <row r="12" spans="1:4" x14ac:dyDescent="0.25">
      <c r="A12" s="27" t="s">
        <v>325</v>
      </c>
      <c r="B12" s="27">
        <v>82000</v>
      </c>
      <c r="C12" s="27" t="s">
        <v>326</v>
      </c>
      <c r="D12" s="27" t="s">
        <v>327</v>
      </c>
    </row>
    <row r="13" spans="1:4" x14ac:dyDescent="0.25">
      <c r="A13" s="27" t="s">
        <v>328</v>
      </c>
      <c r="B13" s="27">
        <f>B12/B9</f>
        <v>23834.666666666668</v>
      </c>
      <c r="C13" s="27" t="s">
        <v>326</v>
      </c>
      <c r="D13" s="27"/>
    </row>
    <row r="14" spans="1:4" x14ac:dyDescent="0.25">
      <c r="A14" s="27" t="s">
        <v>329</v>
      </c>
      <c r="B14" s="27">
        <v>24000</v>
      </c>
      <c r="C14" s="27" t="s">
        <v>326</v>
      </c>
      <c r="D14" s="27" t="s">
        <v>330</v>
      </c>
    </row>
    <row r="15" spans="1:4" x14ac:dyDescent="0.25">
      <c r="A15" s="27" t="s">
        <v>331</v>
      </c>
      <c r="B15" s="27">
        <f>B12/B14</f>
        <v>3.4166666666666665</v>
      </c>
      <c r="C15" s="27" t="s">
        <v>322</v>
      </c>
      <c r="D15" s="27"/>
    </row>
    <row r="16" spans="1:4" x14ac:dyDescent="0.25">
      <c r="A16" s="27" t="s">
        <v>332</v>
      </c>
      <c r="B16" s="27">
        <f>20*LOG10(B15)</f>
        <v>10.672052213442214</v>
      </c>
      <c r="C16" s="27" t="s">
        <v>324</v>
      </c>
      <c r="D16" s="27"/>
    </row>
    <row r="17" spans="1:4" x14ac:dyDescent="0.25">
      <c r="A17" s="65" t="s">
        <v>333</v>
      </c>
      <c r="B17" s="66"/>
      <c r="C17" s="66"/>
      <c r="D17" s="67"/>
    </row>
    <row r="18" spans="1:4" x14ac:dyDescent="0.25">
      <c r="A18" s="27" t="s">
        <v>334</v>
      </c>
      <c r="B18" s="27">
        <v>5</v>
      </c>
      <c r="C18" s="27" t="s">
        <v>335</v>
      </c>
      <c r="D18" s="27"/>
    </row>
    <row r="19" spans="1:4" x14ac:dyDescent="0.25">
      <c r="A19" s="27" t="s">
        <v>336</v>
      </c>
      <c r="B19" s="27">
        <f>1/(2*PI()*B14*B18)</f>
        <v>1.3262911924324611E-6</v>
      </c>
      <c r="C19" s="27" t="s">
        <v>337</v>
      </c>
      <c r="D19" s="27"/>
    </row>
    <row r="20" spans="1:4" x14ac:dyDescent="0.25">
      <c r="A20" s="27" t="s">
        <v>338</v>
      </c>
      <c r="B20" s="35">
        <v>9.9999999999999995E-7</v>
      </c>
      <c r="C20" s="27" t="s">
        <v>337</v>
      </c>
      <c r="D20" s="27" t="s">
        <v>339</v>
      </c>
    </row>
    <row r="21" spans="1:4" x14ac:dyDescent="0.25">
      <c r="A21" s="27" t="s">
        <v>340</v>
      </c>
      <c r="B21" s="27">
        <f>1/(2*PI()*B14*B20)</f>
        <v>6.6314559621623062</v>
      </c>
      <c r="C21" s="27" t="s">
        <v>335</v>
      </c>
      <c r="D21" s="27"/>
    </row>
    <row r="22" spans="1:4" x14ac:dyDescent="0.25">
      <c r="A22" s="65" t="s">
        <v>341</v>
      </c>
      <c r="B22" s="66"/>
      <c r="C22" s="66"/>
      <c r="D22" s="67"/>
    </row>
    <row r="23" spans="1:4" x14ac:dyDescent="0.25">
      <c r="A23" s="27" t="s">
        <v>342</v>
      </c>
      <c r="B23" s="27">
        <v>29000</v>
      </c>
      <c r="C23" s="27" t="s">
        <v>335</v>
      </c>
      <c r="D23" s="27"/>
    </row>
    <row r="24" spans="1:4" x14ac:dyDescent="0.25">
      <c r="A24" s="27" t="s">
        <v>343</v>
      </c>
      <c r="B24" s="27">
        <f>1/(2*PI()*$B$12*B23)</f>
        <v>6.6928066901553963E-11</v>
      </c>
      <c r="C24" s="27" t="s">
        <v>337</v>
      </c>
      <c r="D24" s="27"/>
    </row>
    <row r="25" spans="1:4" x14ac:dyDescent="0.25">
      <c r="A25" s="27" t="s">
        <v>344</v>
      </c>
      <c r="B25" s="35">
        <v>6.7999999999999998E-11</v>
      </c>
      <c r="C25" s="27" t="s">
        <v>337</v>
      </c>
      <c r="D25" s="27" t="s">
        <v>345</v>
      </c>
    </row>
    <row r="26" spans="1:4" x14ac:dyDescent="0.25">
      <c r="A26" s="27" t="s">
        <v>346</v>
      </c>
      <c r="B26" s="27">
        <f>1/(2*PI()*$B$12*$B$25)</f>
        <v>28542.852060956844</v>
      </c>
      <c r="C26" s="27" t="s">
        <v>335</v>
      </c>
      <c r="D26" s="27"/>
    </row>
    <row r="27" spans="1:4" x14ac:dyDescent="0.25">
      <c r="A27" s="65" t="s">
        <v>347</v>
      </c>
      <c r="B27" s="66"/>
      <c r="C27" s="66"/>
      <c r="D27" s="67"/>
    </row>
    <row r="28" spans="1:4" x14ac:dyDescent="0.25">
      <c r="A28" s="27" t="s">
        <v>348</v>
      </c>
      <c r="B28" s="35">
        <v>9.9999999999999995E-8</v>
      </c>
      <c r="C28" s="27" t="s">
        <v>337</v>
      </c>
      <c r="D28" s="27" t="s">
        <v>349</v>
      </c>
    </row>
    <row r="29" spans="1:4" x14ac:dyDescent="0.25">
      <c r="A29" s="27" t="s">
        <v>350</v>
      </c>
      <c r="B29" s="35">
        <v>9.9999999999999995E-8</v>
      </c>
      <c r="C29" s="27" t="s">
        <v>337</v>
      </c>
      <c r="D29" s="27" t="s">
        <v>349</v>
      </c>
    </row>
    <row r="30" spans="1:4" x14ac:dyDescent="0.25">
      <c r="A30" s="27"/>
      <c r="B30" s="27"/>
      <c r="C30" s="27"/>
      <c r="D30" s="27"/>
    </row>
    <row r="31" spans="1:4" x14ac:dyDescent="0.25">
      <c r="A31" s="27" t="s">
        <v>351</v>
      </c>
      <c r="B31" s="35">
        <v>9.9999999999999995E-8</v>
      </c>
      <c r="C31" s="27" t="s">
        <v>337</v>
      </c>
      <c r="D31" s="27" t="s">
        <v>349</v>
      </c>
    </row>
    <row r="32" spans="1:4" x14ac:dyDescent="0.25">
      <c r="A32" s="27" t="s">
        <v>352</v>
      </c>
      <c r="B32" s="35">
        <v>9.9999999999999995E-8</v>
      </c>
      <c r="C32" s="27" t="s">
        <v>337</v>
      </c>
      <c r="D32" s="27" t="s">
        <v>349</v>
      </c>
    </row>
    <row r="33" spans="1:4" x14ac:dyDescent="0.25">
      <c r="A33" s="27"/>
      <c r="B33" s="27"/>
      <c r="C33" s="27"/>
      <c r="D33" s="27"/>
    </row>
    <row r="34" spans="1:4" x14ac:dyDescent="0.25">
      <c r="A34" s="27" t="s">
        <v>353</v>
      </c>
      <c r="B34" s="35">
        <v>1.0000000000000001E-5</v>
      </c>
      <c r="C34" s="27" t="s">
        <v>337</v>
      </c>
      <c r="D34" s="27" t="s">
        <v>354</v>
      </c>
    </row>
    <row r="35" spans="1:4" x14ac:dyDescent="0.25">
      <c r="A35" s="27" t="s">
        <v>355</v>
      </c>
      <c r="B35" s="35">
        <v>1.0000000000000001E-5</v>
      </c>
      <c r="C35" s="27" t="s">
        <v>337</v>
      </c>
      <c r="D35" s="27" t="s">
        <v>354</v>
      </c>
    </row>
  </sheetData>
  <mergeCells count="5">
    <mergeCell ref="A17:D17"/>
    <mergeCell ref="A27:D27"/>
    <mergeCell ref="A22:D22"/>
    <mergeCell ref="A7:D7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cols>
    <col min="1" max="1" width="19.140625" customWidth="1"/>
    <col min="2" max="2" width="10.8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Gantt</vt:lpstr>
      <vt:lpstr>BOM</vt:lpstr>
      <vt:lpstr>Report Breakdown</vt:lpstr>
      <vt:lpstr>MB Phone Characterisation</vt:lpstr>
      <vt:lpstr>Design Calculations</vt:lpstr>
      <vt:lpstr>Play ground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Adjei (Student)</dc:creator>
  <cp:lastModifiedBy>Isaac Adjei (Student)</cp:lastModifiedBy>
  <dcterms:created xsi:type="dcterms:W3CDTF">2026-01-22T04:01:24Z</dcterms:created>
  <dcterms:modified xsi:type="dcterms:W3CDTF">2026-02-09T07:36:46Z</dcterms:modified>
</cp:coreProperties>
</file>