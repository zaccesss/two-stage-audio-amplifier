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iveastonac-my.sharepoint.com/personal/240191278_aston_ac_uk/Documents/240191278_EECS_Beng/240191278_EECS (First Year)/EI1EL2 (Electronics 2)/Personal Files, Projects &amp; Others/Audio Amplifier/"/>
    </mc:Choice>
  </mc:AlternateContent>
  <xr:revisionPtr revIDLastSave="0" documentId="8_{9E6AB0B9-BEEA-40D0-A1A2-4F401C0B3AB8}" xr6:coauthVersionLast="47" xr6:coauthVersionMax="47" xr10:uidLastSave="{00000000-0000-0000-0000-000000000000}"/>
  <bookViews>
    <workbookView xWindow="-105" yWindow="0" windowWidth="19410" windowHeight="20985" activeTab="1" xr2:uid="{00000000-000D-0000-FFFF-FFFF00000000}"/>
  </bookViews>
  <sheets>
    <sheet name="Dashboard" sheetId="1" r:id="rId1"/>
    <sheet name="Gantt" sheetId="2" r:id="rId2"/>
    <sheet name="BOM" sheetId="3" r:id="rId3"/>
    <sheet name="Report Breakdown" sheetId="4" r:id="rId4"/>
    <sheet name="MB Phone Characterisation" sheetId="5" r:id="rId5"/>
    <sheet name="Design Calculations" sheetId="6" r:id="rId6"/>
    <sheet name="Play ground 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6" l="1"/>
  <c r="B24" i="6"/>
  <c r="B21" i="6"/>
  <c r="B19" i="6"/>
  <c r="B15" i="6"/>
  <c r="B16" i="6" s="1"/>
  <c r="C19" i="5"/>
  <c r="D19" i="5" s="1"/>
  <c r="C18" i="5"/>
  <c r="D18" i="5" s="1"/>
  <c r="C17" i="5"/>
  <c r="D17" i="5" s="1"/>
  <c r="C16" i="5"/>
  <c r="D16" i="5" s="1"/>
  <c r="C15" i="5"/>
  <c r="C14" i="5"/>
  <c r="C13" i="5"/>
  <c r="D13" i="5" s="1"/>
  <c r="C12" i="5"/>
  <c r="D12" i="5" s="1"/>
  <c r="C11" i="5"/>
  <c r="C10" i="5"/>
  <c r="C9" i="5"/>
  <c r="D9" i="5" s="1"/>
  <c r="C8" i="5"/>
  <c r="L8" i="5" s="1"/>
  <c r="B3" i="6" s="1"/>
  <c r="B4" i="6" s="1"/>
  <c r="C7" i="5"/>
  <c r="C6" i="5"/>
  <c r="C5" i="5"/>
  <c r="D5" i="5" s="1"/>
  <c r="F4" i="5"/>
  <c r="D7" i="5" s="1"/>
  <c r="C4" i="5"/>
  <c r="D4" i="5" s="1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36" i="3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M4" i="2" s="1"/>
  <c r="N4" i="2" s="1"/>
  <c r="B7" i="1" s="1"/>
  <c r="G10" i="2"/>
  <c r="G9" i="2"/>
  <c r="M5" i="2"/>
  <c r="N5" i="2" s="1"/>
  <c r="B9" i="1" s="1"/>
  <c r="B8" i="1"/>
  <c r="D15" i="5" l="1"/>
  <c r="D8" i="5"/>
  <c r="O5" i="5"/>
  <c r="L9" i="5"/>
  <c r="D11" i="5"/>
  <c r="D6" i="5"/>
  <c r="E4" i="5" s="1"/>
  <c r="D10" i="5"/>
  <c r="D14" i="5"/>
  <c r="O4" i="5"/>
  <c r="N7" i="5" l="1"/>
  <c r="L10" i="5"/>
  <c r="G4" i="5"/>
  <c r="H4" i="5" l="1"/>
  <c r="L12" i="5" s="1"/>
  <c r="O7" i="5"/>
  <c r="L14" i="5"/>
  <c r="L16" i="5" s="1"/>
  <c r="B6" i="6" s="1"/>
  <c r="L15" i="5"/>
  <c r="B5" i="6" s="1"/>
  <c r="B9" i="6" s="1"/>
  <c r="L11" i="5"/>
  <c r="I4" i="5"/>
  <c r="L13" i="5" s="1"/>
  <c r="B10" i="6" l="1"/>
  <c r="B13" i="6"/>
</calcChain>
</file>

<file path=xl/sharedStrings.xml><?xml version="1.0" encoding="utf-8"?>
<sst xmlns="http://schemas.openxmlformats.org/spreadsheetml/2006/main" count="1064" uniqueCount="335">
  <si>
    <t>AUDIO AMPLIFIER PROJECT WORKBOOK</t>
  </si>
  <si>
    <t>Live tracker + Gantt + BOM + design calculations</t>
  </si>
  <si>
    <t>Project window: 19 Jan 2026 to 13 Feb 2026</t>
  </si>
  <si>
    <t>How to use: Update task dates &amp; % complete in the Gantt sheet. Update purchase/received status in the BOM sheet. Dashboard updates automatically.</t>
  </si>
  <si>
    <t>Overall progress (%)</t>
  </si>
  <si>
    <t>Days remaining</t>
  </si>
  <si>
    <t>Tasks complete</t>
  </si>
  <si>
    <t>Key sign-offs / deliverables (from project guidance)</t>
  </si>
  <si>
    <t>Deliverable</t>
  </si>
  <si>
    <t>Planned date</t>
  </si>
  <si>
    <t>Status</t>
  </si>
  <si>
    <t>Notes</t>
  </si>
  <si>
    <t>Final schematic check</t>
  </si>
  <si>
    <t/>
  </si>
  <si>
    <t>Final PCB check</t>
  </si>
  <si>
    <t>PCB soldering check</t>
  </si>
  <si>
    <t>Final test &amp; measurement</t>
  </si>
  <si>
    <t>Final audio check using speaker</t>
  </si>
  <si>
    <t>Report draft complete</t>
  </si>
  <si>
    <t>Final report submitted</t>
  </si>
  <si>
    <t>PROJECT GANTT CHART (LIVE)</t>
  </si>
  <si>
    <t>Edit Start/End/% Complete — bars update automatically</t>
  </si>
  <si>
    <t>19 Jan 2026 to 13 Feb 2026 (weekdays shown)</t>
  </si>
  <si>
    <t>Overall % (duration-weighted)</t>
  </si>
  <si>
    <t>Tip: Keep tasks small (1–3 days). Use Status + %Complete. For milestones set Start=End.</t>
  </si>
  <si>
    <t>Tasks done</t>
  </si>
  <si>
    <t>ID</t>
  </si>
  <si>
    <t>Task</t>
  </si>
  <si>
    <t>Category</t>
  </si>
  <si>
    <t>Owner</t>
  </si>
  <si>
    <t>Start</t>
  </si>
  <si>
    <t>End</t>
  </si>
  <si>
    <t>Duration (wd)</t>
  </si>
  <si>
    <t>% Complete</t>
  </si>
  <si>
    <t>Dependencies</t>
  </si>
  <si>
    <t>Mon</t>
  </si>
  <si>
    <t>Tue</t>
  </si>
  <si>
    <t>Wed</t>
  </si>
  <si>
    <t>Thu</t>
  </si>
  <si>
    <t>Fri</t>
  </si>
  <si>
    <t>T01</t>
  </si>
  <si>
    <t>Read brief + rubric + set up workbook</t>
  </si>
  <si>
    <t>Planning</t>
  </si>
  <si>
    <t>Zac</t>
  </si>
  <si>
    <t>In Progress</t>
  </si>
  <si>
    <t>Set up files / plan</t>
  </si>
  <si>
    <t>T02</t>
  </si>
  <si>
    <t>Week 3 self-study: TL071/OPA551 datasheets + active bandpass videos</t>
  </si>
  <si>
    <t>Not Started</t>
  </si>
  <si>
    <t>T03</t>
  </si>
  <si>
    <t>Mobile phone characterisation (440 Hz Vpp vs volume)</t>
  </si>
  <si>
    <t>Measurements</t>
  </si>
  <si>
    <t>T04</t>
  </si>
  <si>
    <t>Design calculations in Excel (gain, R1/R2, C1/C2, decoupling)</t>
  </si>
  <si>
    <t>Design</t>
  </si>
  <si>
    <t>Use Design Calculations sheet</t>
  </si>
  <si>
    <t>T05</t>
  </si>
  <si>
    <t>Proteus sim (dual supply): AC sweep + transient @ 440 Hz</t>
  </si>
  <si>
    <t>Simulation</t>
  </si>
  <si>
    <t>Capture plots for report</t>
  </si>
  <si>
    <t>M01</t>
  </si>
  <si>
    <t>Sign-off: Final schematic check</t>
  </si>
  <si>
    <t>Milestone</t>
  </si>
  <si>
    <t>T06</t>
  </si>
  <si>
    <t>Breadboard build (dual supply) + measurements</t>
  </si>
  <si>
    <t>Lab build/test</t>
  </si>
  <si>
    <t>Freq response + gain check</t>
  </si>
  <si>
    <t>T07</t>
  </si>
  <si>
    <t>Single-supply bias design + update schematic</t>
  </si>
  <si>
    <t>Bias network + AC coupling</t>
  </si>
  <si>
    <t>T08</t>
  </si>
  <si>
    <t>Proteus sim (single supply): stability + clipping check</t>
  </si>
  <si>
    <t>T09</t>
  </si>
  <si>
    <t>Breadboard build (single supply) + measurements</t>
  </si>
  <si>
    <t>T10</t>
  </si>
  <si>
    <t>Order / collect remaining parts (switch, LED, connectors, speaker/enclosure, power)</t>
  </si>
  <si>
    <t>Procurement</t>
  </si>
  <si>
    <t>T11</t>
  </si>
  <si>
    <t>PCB layout in Proteus + DRC</t>
  </si>
  <si>
    <t>PCB</t>
  </si>
  <si>
    <t>Include mounting holes</t>
  </si>
  <si>
    <t>M02</t>
  </si>
  <si>
    <t>Sign-off: Final PCB check</t>
  </si>
  <si>
    <t>T12</t>
  </si>
  <si>
    <t>PCB manufacture / print / prep (depends on process)</t>
  </si>
  <si>
    <t>M03</t>
  </si>
  <si>
    <t>Sign-off: PCB soldering check</t>
  </si>
  <si>
    <t>T13</t>
  </si>
  <si>
    <t>Final assembly on base plate + wiring tidy + strain relief</t>
  </si>
  <si>
    <t>Assembly</t>
  </si>
  <si>
    <t>M04</t>
  </si>
  <si>
    <t>Sign-off: Final test &amp; measurement</t>
  </si>
  <si>
    <t>M05</t>
  </si>
  <si>
    <t>Sign-off: Final audio check using speaker</t>
  </si>
  <si>
    <t>T14</t>
  </si>
  <si>
    <t>Report writing: screenshots, plots, BOM, reflection</t>
  </si>
  <si>
    <t>Report</t>
  </si>
  <si>
    <t>Keep within 15 pages</t>
  </si>
  <si>
    <t>BILL OF MATERIALS (BOM)</t>
  </si>
  <si>
    <t>Includes university-provided and recommended purchased items</t>
  </si>
  <si>
    <t>Update Qty, Provided?, Status, Supplier, and Cost</t>
  </si>
  <si>
    <t>Tip: Mark Provided by Uni = Yes for items you collect from stock. Use Status to track buying. Total cost updates automatically.</t>
  </si>
  <si>
    <t>Component / Item</t>
  </si>
  <si>
    <t>Specification / Value</t>
  </si>
  <si>
    <t>Qty</t>
  </si>
  <si>
    <t>Provided by Uni?</t>
  </si>
  <si>
    <t>Supplier</t>
  </si>
  <si>
    <t>Part No / Link</t>
  </si>
  <si>
    <t>Unit Cost</t>
  </si>
  <si>
    <t>Total Cost</t>
  </si>
  <si>
    <t>Priority</t>
  </si>
  <si>
    <t>ICs</t>
  </si>
  <si>
    <t>TL071 op-amp</t>
  </si>
  <si>
    <t>DIP-8 (TL071CP equivalent)</t>
  </si>
  <si>
    <t>Yes</t>
  </si>
  <si>
    <t>High</t>
  </si>
  <si>
    <t>To Get</t>
  </si>
  <si>
    <t>Required for summing + band-pass</t>
  </si>
  <si>
    <t>OPA551 power op-amp</t>
  </si>
  <si>
    <t>DIP-8 (OPA551PA equivalent)</t>
  </si>
  <si>
    <t>Required for speaker drive</t>
  </si>
  <si>
    <t>Resistors</t>
  </si>
  <si>
    <t>R1 (feedback)</t>
  </si>
  <si>
    <t>82 kΩ (MF25_82k)</t>
  </si>
  <si>
    <t>From design calculations</t>
  </si>
  <si>
    <t>R2 (gain set)</t>
  </si>
  <si>
    <t>24 kΩ (MF25_24k)</t>
  </si>
  <si>
    <t>Stereo summing resistors (L &amp; R)</t>
  </si>
  <si>
    <t>10 kΩ (typical) — confirm in schematic</t>
  </si>
  <si>
    <t>Stops L/R outputs fighting</t>
  </si>
  <si>
    <t>Bias network resistors</t>
  </si>
  <si>
    <t>2× 47 kΩ (typical) — confirm</t>
  </si>
  <si>
    <t>Med</t>
  </si>
  <si>
    <t>For mid-supply reference</t>
  </si>
  <si>
    <t>Capacitors</t>
  </si>
  <si>
    <t>C1 (upper cut-off)</t>
  </si>
  <si>
    <t>68 pF ceramic (CER_68P)</t>
  </si>
  <si>
    <t>C2 (lower cut-off)</t>
  </si>
  <si>
    <t>1 µF electrolytic (ELEC_1U)</t>
  </si>
  <si>
    <t>Input coupling capacitor</t>
  </si>
  <si>
    <t>1–10 µF electrolytic — confirm</t>
  </si>
  <si>
    <t>Blocks DC into bias point</t>
  </si>
  <si>
    <t>Decoupling caps</t>
  </si>
  <si>
    <t>100 nF (POLY_100N)</t>
  </si>
  <si>
    <t>+V and -V for TL071 &amp; OPA551</t>
  </si>
  <si>
    <t>Bulk decoupling caps</t>
  </si>
  <si>
    <t>10 µF (ELEC_10U)</t>
  </si>
  <si>
    <t>Near OPA551 supply pins</t>
  </si>
  <si>
    <t>Connectors</t>
  </si>
  <si>
    <t>3.5 mm stereo input jack</t>
  </si>
  <si>
    <t>Panel mount TRS (stereo)</t>
  </si>
  <si>
    <t>No</t>
  </si>
  <si>
    <t>To Buy</t>
  </si>
  <si>
    <t>Phone input</t>
  </si>
  <si>
    <t>Power</t>
  </si>
  <si>
    <t>9 V PP3 battery</t>
  </si>
  <si>
    <t>Alkaline</t>
  </si>
  <si>
    <t>If using battery power</t>
  </si>
  <si>
    <t>9 V PP3 battery clip/holder</t>
  </si>
  <si>
    <t>Leads or panel holder</t>
  </si>
  <si>
    <t>12 V DC adapter</t>
  </si>
  <si>
    <t>Regulated, centre-positive (suggest 1 A)</t>
  </si>
  <si>
    <t>If using DC supply</t>
  </si>
  <si>
    <t>DC barrel jack</t>
  </si>
  <si>
    <t>Panel mount, matches adapter</t>
  </si>
  <si>
    <t>UI</t>
  </si>
  <si>
    <t>On/off switch</t>
  </si>
  <si>
    <t>Toggle/rocker/slide, rated ≥1 A</t>
  </si>
  <si>
    <t>Required by brief</t>
  </si>
  <si>
    <t>Power indicator LED</t>
  </si>
  <si>
    <t>5 mm (any colour) + bezel</t>
  </si>
  <si>
    <t>LED resistor</t>
  </si>
  <si>
    <t>~1 kΩ (depends on LED + supply)</t>
  </si>
  <si>
    <t>Set after choosing supply voltage</t>
  </si>
  <si>
    <t>Audio</t>
  </si>
  <si>
    <t>Speaker</t>
  </si>
  <si>
    <t>8 Ω, 3–5 W (recommended)</t>
  </si>
  <si>
    <t>Better sound and safer load</t>
  </si>
  <si>
    <t>Speaker enclosure (optional)</t>
  </si>
  <si>
    <t>Small box or ready-made enclosure</t>
  </si>
  <si>
    <t>Low</t>
  </si>
  <si>
    <t>Optional</t>
  </si>
  <si>
    <t>Improves audio a lot</t>
  </si>
  <si>
    <t>Build</t>
  </si>
  <si>
    <t>Base plate / mounting</t>
  </si>
  <si>
    <t>Uni-provided base mount + standoffs</t>
  </si>
  <si>
    <t>Must mount securely</t>
  </si>
  <si>
    <t>Hook-up wire</t>
  </si>
  <si>
    <t>Solid core + stranded</t>
  </si>
  <si>
    <t>Heatshrink + cable ties</t>
  </si>
  <si>
    <t>Assorted</t>
  </si>
  <si>
    <t>Neatness + strain relief</t>
  </si>
  <si>
    <t>Screws + standoffs</t>
  </si>
  <si>
    <t>M3 assorted kit</t>
  </si>
  <si>
    <t>Secure mounting</t>
  </si>
  <si>
    <t>Terminal block / speaker connector</t>
  </si>
  <si>
    <t>2-way</t>
  </si>
  <si>
    <t>Easier assembly</t>
  </si>
  <si>
    <t>Thermal</t>
  </si>
  <si>
    <t>Small heatsink (optional)</t>
  </si>
  <si>
    <t>Clip-on for DIP-8 or aluminium tab sink</t>
  </si>
  <si>
    <t>If OPA551 runs warm</t>
  </si>
  <si>
    <t>Estimated total cost</t>
  </si>
  <si>
    <t>Total</t>
  </si>
  <si>
    <t>REPORT BREAKDOWN (Parts B, D, E)</t>
  </si>
  <si>
    <t>Mapping to report sections + build/marking checklist + ordering placeholder</t>
  </si>
  <si>
    <t>Use: Copy/paste into report planning. Update if your design changes.</t>
  </si>
  <si>
    <t>Tip: This sheet is static notes/checklists. Your live schedule is in the Gantt sheet. Your parts list is in the BOM sheet.</t>
  </si>
  <si>
    <t>B - Map each requirement to report sections</t>
  </si>
  <si>
    <t>Brief requirement</t>
  </si>
  <si>
    <t>Where I cover it in my report</t>
  </si>
  <si>
    <t>Power requirement (9 V or 12 V)</t>
  </si>
  <si>
    <t>Power supply design and biasing strategy, decoupling</t>
  </si>
  <si>
    <t>Base plate mounting</t>
  </si>
  <si>
    <t>Mechanical construction, photos, safety and wiring</t>
  </si>
  <si>
    <t>On/off switch and power LED</t>
  </si>
  <si>
    <t>User interface, schematic snippet, LED resistor choice</t>
  </si>
  <si>
    <t>TL071 summing and filtering</t>
  </si>
  <si>
    <t>Signal processing stage, calculations, frequency response plot</t>
  </si>
  <si>
    <t>OPA551 speaker driver</t>
  </si>
  <si>
    <t>Power stage design, load considerations, output swing checks</t>
  </si>
  <si>
    <t>University provided components</t>
  </si>
  <si>
    <t>Bill of materials, stock part selection</t>
  </si>
  <si>
    <t>Reuse and sustainability</t>
  </si>
  <si>
    <t>Design considerations and sustainability notes</t>
  </si>
  <si>
    <t>Keep device after marking</t>
  </si>
  <si>
    <t>Conclusion, reflection, portfolio value</t>
  </si>
  <si>
    <t>D - Build and marking checklist</t>
  </si>
  <si>
    <t>Electrical</t>
  </si>
  <si>
    <t>•</t>
  </si>
  <si>
    <t>Stereo inputs summed safely (L + R) using resistors into the TL071 summing node</t>
  </si>
  <si>
    <t>Active band-pass filter meets my target cut-offs after rounding to stock parts</t>
  </si>
  <si>
    <t>Mid-band gain meets target output without clipping</t>
  </si>
  <si>
    <t>OPA551 configured to provide current drive into an 8 Ω speaker load</t>
  </si>
  <si>
    <t>Power supply decoupling fitted close to IC pins</t>
  </si>
  <si>
    <t>Mechanical</t>
  </si>
  <si>
    <t>PCB or board securely fixed to the base plate</t>
  </si>
  <si>
    <t>Speaker securely fixed and wired safely</t>
  </si>
  <si>
    <t>Battery holder or DC jack securely fixed</t>
  </si>
  <si>
    <t>Wiring tidy, strain relieved, and labelled where needed</t>
  </si>
  <si>
    <t>User</t>
  </si>
  <si>
    <t>On/off switch is accessible and clearly labelled</t>
  </si>
  <si>
    <t>Power LED is visible and current limited</t>
  </si>
  <si>
    <t>Documentation</t>
  </si>
  <si>
    <t>Excel sheets saved and referenced</t>
  </si>
  <si>
    <t>Proteus plots and screenshots captured</t>
  </si>
  <si>
    <t>Photos taken at key build stages</t>
  </si>
  <si>
    <t>Final block diagram included</t>
  </si>
  <si>
    <t>E - Items I might need to order (placeholder)</t>
  </si>
  <si>
    <t>I will fill this after deciding my final build choices. Typical items include: power option (battery holder or DC adapter), switch, LED parts, speaker, and enclosure hardware. See the BOM sheet to track ordering.</t>
  </si>
  <si>
    <t>Volume (Steps 1-16)</t>
  </si>
  <si>
    <t>Vpp(440Hz)</t>
  </si>
  <si>
    <t>Vpp(440Hz) - Simplified [V]</t>
  </si>
  <si>
    <t>Abs diff to 70% target</t>
  </si>
  <si>
    <t>70% Point (Step)</t>
  </si>
  <si>
    <t>70% Target Vpp [V]</t>
  </si>
  <si>
    <t>Chosen step Vpp [V]</t>
  </si>
  <si>
    <t>Error (Chosen - Target) [V]</t>
  </si>
  <si>
    <t>% Error</t>
  </si>
  <si>
    <t>Source and test conditions</t>
  </si>
  <si>
    <t>X (70% line and chosen point)</t>
  </si>
  <si>
    <t>Y [V] (70% line and chosen point)</t>
  </si>
  <si>
    <t>48.00mV</t>
  </si>
  <si>
    <t>Source device</t>
  </si>
  <si>
    <t>iPhone 14 Pro Max</t>
  </si>
  <si>
    <t>Test tone frequency [Hz]</t>
  </si>
  <si>
    <t>Volume scale</t>
  </si>
  <si>
    <t>Steps 1 to 16</t>
  </si>
  <si>
    <t>Chosen design point</t>
  </si>
  <si>
    <t>70% of max Vpp</t>
  </si>
  <si>
    <t>Max measured Vpp [V]</t>
  </si>
  <si>
    <t>70% target Vpp [V]</t>
  </si>
  <si>
    <t>56.00mV</t>
  </si>
  <si>
    <t>Closest volume step / Chosen design volume setting</t>
  </si>
  <si>
    <t>72.00mV</t>
  </si>
  <si>
    <t>104.0mV</t>
  </si>
  <si>
    <t>152.0mV</t>
  </si>
  <si>
    <t>Percent error</t>
  </si>
  <si>
    <t>208.0mV</t>
  </si>
  <si>
    <t>Chosen step Vrms [V]</t>
  </si>
  <si>
    <t>320.0mV</t>
  </si>
  <si>
    <t>Vin (chosen step) Vpp [V]</t>
  </si>
  <si>
    <t>448.0mV</t>
  </si>
  <si>
    <t>Vin (chosen step) Vrms [V]</t>
  </si>
  <si>
    <t>624.0mV</t>
  </si>
  <si>
    <t>872.0mV</t>
  </si>
  <si>
    <t>1.224V</t>
  </si>
  <si>
    <t>Names / Parameters</t>
  </si>
  <si>
    <t>Values</t>
  </si>
  <si>
    <t>Units</t>
  </si>
  <si>
    <t>Real component name (Proteus Aston name)</t>
  </si>
  <si>
    <t>Phone input values (rows 3–6)</t>
  </si>
  <si>
    <t>Max phone Vpp</t>
  </si>
  <si>
    <t>V</t>
  </si>
  <si>
    <t>0.7 phone Vpp target</t>
  </si>
  <si>
    <t>Chosen design Vin Vpp</t>
  </si>
  <si>
    <t>Chosen design Vin Vrms</t>
  </si>
  <si>
    <t>Gain / resistor results (rows 8–16)</t>
  </si>
  <si>
    <t>Target Vout Vpp (spec)</t>
  </si>
  <si>
    <t>Required gain (V/V)</t>
  </si>
  <si>
    <t>V/V</t>
  </si>
  <si>
    <t>Required gain (dB)</t>
  </si>
  <si>
    <t>dB</t>
  </si>
  <si>
    <t>R1 (given feedback)</t>
  </si>
  <si>
    <t>Ohms</t>
  </si>
  <si>
    <t>MF25_82k</t>
  </si>
  <si>
    <t>R2 calculated (input)</t>
  </si>
  <si>
    <t>R2 rounded (chosen)</t>
  </si>
  <si>
    <t>MF25_24k</t>
  </si>
  <si>
    <t>Actual gain (using rounded R2)</t>
  </si>
  <si>
    <t>Actual gain (dB)</t>
  </si>
  <si>
    <t>Lower cut-off section (rows 18–21)</t>
  </si>
  <si>
    <t>Lower cut-off frequency fl (given)</t>
  </si>
  <si>
    <t>Hz</t>
  </si>
  <si>
    <t>C2 calculated</t>
  </si>
  <si>
    <t>F</t>
  </si>
  <si>
    <t>C2 rounded (chosen)</t>
  </si>
  <si>
    <t>ELEC_1U</t>
  </si>
  <si>
    <t>Actual fl</t>
  </si>
  <si>
    <t>Upper cut-off section (rows 23–26)</t>
  </si>
  <si>
    <t>Upper cut-off frequency fu (chosen)</t>
  </si>
  <si>
    <t>C1 calculated</t>
  </si>
  <si>
    <t>C1 rounded (chosen)</t>
  </si>
  <si>
    <t>CER_68P</t>
  </si>
  <si>
    <t>Actual fu</t>
  </si>
  <si>
    <t>Decoupling caps (rows 28–35)</t>
  </si>
  <si>
    <t>C+ decouple (TL071 +V to 0V)</t>
  </si>
  <si>
    <t>POLY_100N</t>
  </si>
  <si>
    <t>C- decouple (TL071 -V to 0V)</t>
  </si>
  <si>
    <t>OPA551 decouple +V to 0V</t>
  </si>
  <si>
    <t>OPA551 decouple -V to 0V</t>
  </si>
  <si>
    <t>OPA551 bulk +V to 0V</t>
  </si>
  <si>
    <t>ELEC_10U</t>
  </si>
  <si>
    <t>OPA551 bulk -V to 0V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</si>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</sst>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£#,##0.00"/>
    <numFmt numFmtId="165" formatCode="0.0000"/>
    <numFmt numFmtId="166" formatCode="0.00000"/>
    <numFmt numFmtId="167" formatCode="0.000"/>
  </numFmts>
  <fonts count="14" x14ac:knownFonts="1">
    <font>
      <sz val="11"/>
      <color theme="1"/>
      <name val="Calibri"/>
      <family val="2"/>
      <scheme val="minor"/>
    </font>
    <font>
      <b/>
      <sz val="18"/>
      <color rgb="FF5B2C6F"/>
      <name val="Calibri"/>
      <family val="2"/>
    </font>
    <font>
      <i/>
      <sz val="11"/>
      <color rgb="FF5B2C6F"/>
      <name val="Calibri"/>
      <family val="2"/>
    </font>
    <font>
      <sz val="11"/>
      <color rgb="FF555555"/>
      <name val="Calibri"/>
      <family val="2"/>
    </font>
    <font>
      <sz val="11"/>
      <color rgb="FF343A40"/>
      <name val="Calibri"/>
      <family val="2"/>
    </font>
    <font>
      <b/>
      <sz val="11"/>
      <name val="Calibri"/>
      <family val="2"/>
    </font>
    <font>
      <b/>
      <sz val="11"/>
      <color rgb="FF0B7285"/>
      <name val="Calibri"/>
      <family val="2"/>
    </font>
    <font>
      <b/>
      <sz val="11"/>
      <color rgb="FFFFFFFF"/>
      <name val="Calibri"/>
      <family val="2"/>
    </font>
    <font>
      <b/>
      <sz val="11"/>
      <color rgb="FF5B2C6F"/>
      <name val="Calibri"/>
      <family val="2"/>
    </font>
    <font>
      <b/>
      <sz val="9"/>
      <color rgb="FFFFFFFF"/>
      <name val="Calibri"/>
      <family val="2"/>
    </font>
    <font>
      <b/>
      <sz val="9"/>
      <color rgb="FF5B2C6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E6FCF5"/>
      </patternFill>
    </fill>
    <fill>
      <patternFill patternType="solid">
        <fgColor rgb="FF5B2C6F"/>
      </patternFill>
    </fill>
    <fill>
      <patternFill patternType="solid">
        <fgColor rgb="FFD7BDE2"/>
      </patternFill>
    </fill>
    <fill>
      <patternFill patternType="solid">
        <fgColor rgb="FF00B0F0"/>
      </patternFill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5" fillId="0" borderId="1" xfId="0" applyFont="1" applyBorder="1"/>
    <xf numFmtId="9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" fontId="9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10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15" fontId="0" fillId="0" borderId="1" xfId="0" applyNumberFormat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0" fillId="0" borderId="1" xfId="0" applyBorder="1"/>
    <xf numFmtId="164" fontId="0" fillId="0" borderId="1" xfId="0" applyNumberFormat="1" applyBorder="1" applyAlignment="1">
      <alignment vertical="top" wrapText="1"/>
    </xf>
    <xf numFmtId="0" fontId="8" fillId="5" borderId="1" xfId="0" applyFont="1" applyFill="1" applyBorder="1"/>
    <xf numFmtId="164" fontId="6" fillId="3" borderId="1" xfId="0" applyNumberFormat="1" applyFont="1" applyFill="1" applyBorder="1"/>
    <xf numFmtId="0" fontId="11" fillId="0" borderId="0" xfId="0" applyFont="1"/>
    <xf numFmtId="0" fontId="12" fillId="6" borderId="2" xfId="0" applyFont="1" applyFill="1" applyBorder="1" applyAlignment="1">
      <alignment horizontal="center"/>
    </xf>
    <xf numFmtId="165" fontId="12" fillId="6" borderId="2" xfId="0" applyNumberFormat="1" applyFont="1" applyFill="1" applyBorder="1" applyAlignment="1">
      <alignment horizontal="center"/>
    </xf>
    <xf numFmtId="0" fontId="8" fillId="5" borderId="0" xfId="0" applyFont="1" applyFill="1"/>
    <xf numFmtId="0" fontId="12" fillId="6" borderId="2" xfId="0" applyFont="1" applyFill="1" applyBorder="1"/>
    <xf numFmtId="10" fontId="12" fillId="6" borderId="2" xfId="0" applyNumberFormat="1" applyFont="1" applyFill="1" applyBorder="1" applyAlignment="1">
      <alignment horizontal="center"/>
    </xf>
    <xf numFmtId="0" fontId="12" fillId="0" borderId="0" xfId="0" applyFont="1"/>
    <xf numFmtId="0" fontId="11" fillId="0" borderId="2" xfId="0" applyFont="1" applyBorder="1" applyAlignment="1">
      <alignment horizontal="center"/>
    </xf>
    <xf numFmtId="165" fontId="11" fillId="0" borderId="2" xfId="0" applyNumberFormat="1" applyFont="1" applyBorder="1" applyAlignment="1">
      <alignment horizontal="center"/>
    </xf>
    <xf numFmtId="165" fontId="11" fillId="0" borderId="0" xfId="0" applyNumberFormat="1" applyFont="1"/>
    <xf numFmtId="1" fontId="11" fillId="0" borderId="2" xfId="0" applyNumberFormat="1" applyFont="1" applyBorder="1" applyAlignment="1">
      <alignment horizontal="center"/>
    </xf>
    <xf numFmtId="166" fontId="11" fillId="0" borderId="2" xfId="0" applyNumberFormat="1" applyFont="1" applyBorder="1" applyAlignment="1">
      <alignment horizontal="center"/>
    </xf>
    <xf numFmtId="10" fontId="11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167" fontId="11" fillId="0" borderId="2" xfId="0" applyNumberFormat="1" applyFont="1" applyBorder="1" applyAlignment="1">
      <alignment horizontal="center"/>
    </xf>
    <xf numFmtId="11" fontId="1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7" fillId="4" borderId="0" xfId="0" applyFont="1" applyFill="1" applyAlignment="1">
      <alignment horizontal="left"/>
    </xf>
    <xf numFmtId="0" fontId="4" fillId="2" borderId="1" xfId="0" applyFont="1" applyFill="1" applyBorder="1" applyAlignment="1">
      <alignment wrapText="1"/>
    </xf>
    <xf numFmtId="0" fontId="0" fillId="0" borderId="4" xfId="0" applyBorder="1"/>
    <xf numFmtId="0" fontId="0" fillId="0" borderId="5" xfId="0" applyBorder="1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wrapText="1"/>
    </xf>
    <xf numFmtId="0" fontId="8" fillId="5" borderId="1" xfId="0" applyFont="1" applyFill="1" applyBorder="1"/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5" fillId="5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top" wrapText="1"/>
    </xf>
    <xf numFmtId="0" fontId="13" fillId="7" borderId="3" xfId="0" applyFont="1" applyFill="1" applyBorder="1" applyAlignment="1">
      <alignment horizontal="center" wrapText="1"/>
    </xf>
    <xf numFmtId="0" fontId="0" fillId="0" borderId="6" xfId="0" applyBorder="1"/>
    <xf numFmtId="0" fontId="0" fillId="0" borderId="3" xfId="0" applyBorder="1"/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</cellXfs>
  <cellStyles count="1">
    <cellStyle name="Normal" xfId="0" builtinId="0"/>
  </cellStyles>
  <dxfs count="12">
    <dxf>
      <fill>
        <patternFill>
          <bgColor rgb="FFDEE2E6"/>
        </patternFill>
      </fill>
    </dxf>
    <dxf>
      <fill>
        <patternFill>
          <bgColor rgb="FFFF6B6B"/>
        </patternFill>
      </fill>
    </dxf>
    <dxf>
      <fill>
        <patternFill>
          <bgColor rgb="FFFFE066"/>
        </patternFill>
      </fill>
    </dxf>
    <dxf>
      <fill>
        <patternFill>
          <bgColor rgb="FF69DB7C"/>
        </patternFill>
      </fill>
    </dxf>
    <dxf>
      <fill>
        <patternFill>
          <bgColor rgb="FFFFA94D"/>
        </patternFill>
      </fill>
    </dxf>
    <dxf>
      <fill>
        <patternFill>
          <bgColor rgb="FFDEE2E6"/>
        </patternFill>
      </fill>
    </dxf>
    <dxf>
      <fill>
        <patternFill>
          <bgColor rgb="FFFFE066"/>
        </patternFill>
      </fill>
    </dxf>
    <dxf>
      <fill>
        <patternFill>
          <bgColor rgb="FF69DB7C"/>
        </patternFill>
      </fill>
    </dxf>
    <dxf>
      <fill>
        <patternFill>
          <bgColor rgb="FFFFA94D"/>
        </patternFill>
      </fill>
    </dxf>
    <dxf>
      <fill>
        <patternFill>
          <bgColor rgb="FFFF6B6B"/>
        </patternFill>
      </fill>
    </dxf>
    <dxf>
      <fill>
        <patternFill>
          <bgColor rgb="FFFFE066"/>
        </patternFill>
      </fill>
    </dxf>
    <dxf>
      <fill>
        <patternFill>
          <bgColor rgb="FF69DB7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workbookViewId="0">
      <selection activeCell="C15" sqref="C15"/>
    </sheetView>
  </sheetViews>
  <sheetFormatPr defaultRowHeight="15" x14ac:dyDescent="0.25"/>
  <cols>
    <col min="1" max="1" width="34" customWidth="1"/>
    <col min="2" max="3" width="14" customWidth="1"/>
    <col min="4" max="4" width="44" customWidth="1"/>
  </cols>
  <sheetData>
    <row r="1" spans="1:14" ht="23.25" x14ac:dyDescent="0.35">
      <c r="A1" s="45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x14ac:dyDescent="0.25">
      <c r="A2" s="40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14" x14ac:dyDescent="0.25">
      <c r="A3" s="38" t="s">
        <v>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5" spans="1:14" x14ac:dyDescent="0.25">
      <c r="A5" s="42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4"/>
    </row>
    <row r="7" spans="1:14" x14ac:dyDescent="0.25">
      <c r="A7" s="1" t="s">
        <v>4</v>
      </c>
      <c r="B7" s="2">
        <f>IFERROR(Gantt!$N$4,0)</f>
        <v>0.17450980392156865</v>
      </c>
    </row>
    <row r="8" spans="1:14" x14ac:dyDescent="0.25">
      <c r="A8" s="1" t="s">
        <v>5</v>
      </c>
      <c r="B8" s="3">
        <f ca="1">MAX(0,DATE(2026,2,13)-TODAY())</f>
        <v>22</v>
      </c>
    </row>
    <row r="9" spans="1:14" x14ac:dyDescent="0.25">
      <c r="A9" s="1" t="s">
        <v>6</v>
      </c>
      <c r="B9" s="3">
        <f>Gantt!$N$5</f>
        <v>4</v>
      </c>
    </row>
    <row r="11" spans="1:14" x14ac:dyDescent="0.25">
      <c r="A11" s="41" t="s">
        <v>7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</row>
    <row r="12" spans="1:14" x14ac:dyDescent="0.25">
      <c r="A12" s="4" t="s">
        <v>8</v>
      </c>
      <c r="B12" s="4" t="s">
        <v>9</v>
      </c>
      <c r="C12" s="4" t="s">
        <v>10</v>
      </c>
      <c r="D12" s="4" t="s">
        <v>11</v>
      </c>
    </row>
    <row r="13" spans="1:14" x14ac:dyDescent="0.25">
      <c r="A13" s="5" t="s">
        <v>12</v>
      </c>
      <c r="B13" s="6" t="s">
        <v>13</v>
      </c>
      <c r="C13" s="5" t="s">
        <v>13</v>
      </c>
      <c r="D13" s="5" t="s">
        <v>13</v>
      </c>
    </row>
    <row r="14" spans="1:14" x14ac:dyDescent="0.25">
      <c r="A14" s="5" t="s">
        <v>14</v>
      </c>
      <c r="B14" s="6" t="s">
        <v>13</v>
      </c>
      <c r="C14" s="5" t="s">
        <v>13</v>
      </c>
      <c r="D14" s="5" t="s">
        <v>13</v>
      </c>
    </row>
    <row r="15" spans="1:14" x14ac:dyDescent="0.25">
      <c r="A15" s="5" t="s">
        <v>15</v>
      </c>
      <c r="B15" s="6" t="s">
        <v>13</v>
      </c>
      <c r="C15" s="5" t="s">
        <v>13</v>
      </c>
      <c r="D15" s="5" t="s">
        <v>13</v>
      </c>
    </row>
    <row r="16" spans="1:14" x14ac:dyDescent="0.25">
      <c r="A16" s="5" t="s">
        <v>16</v>
      </c>
      <c r="B16" s="6" t="s">
        <v>13</v>
      </c>
      <c r="C16" s="5" t="s">
        <v>13</v>
      </c>
      <c r="D16" s="5" t="s">
        <v>13</v>
      </c>
    </row>
    <row r="17" spans="1:4" x14ac:dyDescent="0.25">
      <c r="A17" s="5" t="s">
        <v>17</v>
      </c>
      <c r="B17" s="6" t="s">
        <v>13</v>
      </c>
      <c r="C17" s="5" t="s">
        <v>13</v>
      </c>
      <c r="D17" s="5" t="s">
        <v>13</v>
      </c>
    </row>
    <row r="18" spans="1:4" x14ac:dyDescent="0.25">
      <c r="A18" s="5" t="s">
        <v>18</v>
      </c>
      <c r="B18" s="6" t="s">
        <v>13</v>
      </c>
      <c r="C18" s="5" t="s">
        <v>13</v>
      </c>
      <c r="D18" s="5" t="s">
        <v>13</v>
      </c>
    </row>
    <row r="19" spans="1:4" x14ac:dyDescent="0.25">
      <c r="A19" s="5" t="s">
        <v>19</v>
      </c>
      <c r="B19" s="6" t="s">
        <v>13</v>
      </c>
      <c r="C19" s="5" t="s">
        <v>13</v>
      </c>
      <c r="D19" s="5" t="s">
        <v>13</v>
      </c>
    </row>
  </sheetData>
  <mergeCells count="5">
    <mergeCell ref="A3:N3"/>
    <mergeCell ref="A2:N2"/>
    <mergeCell ref="A11:N11"/>
    <mergeCell ref="A5:N5"/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7"/>
  <sheetViews>
    <sheetView tabSelected="1" workbookViewId="0">
      <selection activeCell="H14" sqref="H14"/>
    </sheetView>
  </sheetViews>
  <sheetFormatPr defaultRowHeight="15" x14ac:dyDescent="0.25"/>
  <cols>
    <col min="1" max="1" width="4.7109375" bestFit="1" customWidth="1"/>
    <col min="2" max="2" width="37.7109375" bestFit="1" customWidth="1"/>
    <col min="3" max="3" width="14.42578125" bestFit="1" customWidth="1"/>
    <col min="4" max="4" width="7" bestFit="1" customWidth="1"/>
    <col min="5" max="6" width="9.7109375" bestFit="1" customWidth="1"/>
    <col min="7" max="7" width="8.7109375" bestFit="1" customWidth="1"/>
    <col min="8" max="8" width="11.7109375" bestFit="1" customWidth="1"/>
    <col min="9" max="9" width="11.140625" bestFit="1" customWidth="1"/>
    <col min="10" max="10" width="13.85546875" bestFit="1" customWidth="1"/>
    <col min="11" max="11" width="27.85546875" bestFit="1" customWidth="1"/>
    <col min="12" max="13" width="5.5703125" bestFit="1" customWidth="1"/>
    <col min="14" max="14" width="12" bestFit="1" customWidth="1"/>
    <col min="15" max="21" width="5.5703125" bestFit="1" customWidth="1"/>
    <col min="22" max="31" width="5.85546875" bestFit="1" customWidth="1"/>
  </cols>
  <sheetData>
    <row r="1" spans="1:31" ht="23.25" x14ac:dyDescent="0.35">
      <c r="A1" s="45" t="s">
        <v>20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</row>
    <row r="2" spans="1:31" x14ac:dyDescent="0.25">
      <c r="A2" s="40" t="s">
        <v>21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</row>
    <row r="3" spans="1:31" x14ac:dyDescent="0.25">
      <c r="A3" s="38" t="s">
        <v>22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</row>
    <row r="4" spans="1:31" x14ac:dyDescent="0.25">
      <c r="A4" s="56" t="s">
        <v>23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7"/>
      <c r="M4" s="8">
        <f>IFERROR(SUMPRODUCT($G$9:$G$200,$H$9:$H$200)/SUM($G$9:$G$200),0)</f>
        <v>0.17450980392156865</v>
      </c>
      <c r="N4">
        <f>M4</f>
        <v>0.17450980392156865</v>
      </c>
    </row>
    <row r="5" spans="1:31" ht="14.25" customHeight="1" x14ac:dyDescent="0.25">
      <c r="A5" s="58" t="s">
        <v>24</v>
      </c>
      <c r="B5" s="59"/>
      <c r="C5" s="59"/>
      <c r="D5" s="59"/>
      <c r="E5" s="59"/>
      <c r="F5" s="59"/>
      <c r="G5" s="59"/>
      <c r="H5" s="59"/>
      <c r="I5" s="59"/>
      <c r="J5" s="59"/>
      <c r="K5" s="60"/>
      <c r="L5" s="7" t="s">
        <v>25</v>
      </c>
      <c r="M5" s="9">
        <f>COUNTIF($I$9:$I$200,"Done")</f>
        <v>4</v>
      </c>
      <c r="N5">
        <f>M5</f>
        <v>4</v>
      </c>
    </row>
    <row r="7" spans="1:31" ht="30" x14ac:dyDescent="0.25">
      <c r="A7" s="4" t="s">
        <v>26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31</v>
      </c>
      <c r="G7" s="4" t="s">
        <v>32</v>
      </c>
      <c r="H7" s="4" t="s">
        <v>33</v>
      </c>
      <c r="I7" s="4" t="s">
        <v>10</v>
      </c>
      <c r="J7" s="4" t="s">
        <v>34</v>
      </c>
      <c r="K7" s="4" t="s">
        <v>11</v>
      </c>
      <c r="L7" s="10">
        <v>46041</v>
      </c>
      <c r="M7" s="10">
        <v>46042</v>
      </c>
      <c r="N7" s="10">
        <v>46043</v>
      </c>
      <c r="O7" s="10">
        <v>46044</v>
      </c>
      <c r="P7" s="10">
        <v>46045</v>
      </c>
      <c r="Q7" s="10">
        <v>46048</v>
      </c>
      <c r="R7" s="10">
        <v>46049</v>
      </c>
      <c r="S7" s="10">
        <v>46050</v>
      </c>
      <c r="T7" s="10">
        <v>46051</v>
      </c>
      <c r="U7" s="10">
        <v>46052</v>
      </c>
      <c r="V7" s="10">
        <v>46055</v>
      </c>
      <c r="W7" s="10">
        <v>46056</v>
      </c>
      <c r="X7" s="10">
        <v>46057</v>
      </c>
      <c r="Y7" s="10">
        <v>46058</v>
      </c>
      <c r="Z7" s="10">
        <v>46059</v>
      </c>
      <c r="AA7" s="10">
        <v>46062</v>
      </c>
      <c r="AB7" s="10">
        <v>46063</v>
      </c>
      <c r="AC7" s="10">
        <v>46064</v>
      </c>
      <c r="AD7" s="10">
        <v>46065</v>
      </c>
      <c r="AE7" s="10">
        <v>46066</v>
      </c>
    </row>
    <row r="8" spans="1:31" x14ac:dyDescent="0.25">
      <c r="A8" s="11" t="s">
        <v>13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  <c r="J8" s="11" t="s">
        <v>13</v>
      </c>
      <c r="K8" s="11" t="s">
        <v>13</v>
      </c>
      <c r="L8" s="12" t="s">
        <v>35</v>
      </c>
      <c r="M8" s="12" t="s">
        <v>36</v>
      </c>
      <c r="N8" s="12" t="s">
        <v>37</v>
      </c>
      <c r="O8" s="12" t="s">
        <v>38</v>
      </c>
      <c r="P8" s="12" t="s">
        <v>39</v>
      </c>
      <c r="Q8" s="12" t="s">
        <v>35</v>
      </c>
      <c r="R8" s="12" t="s">
        <v>36</v>
      </c>
      <c r="S8" s="12" t="s">
        <v>37</v>
      </c>
      <c r="T8" s="12" t="s">
        <v>38</v>
      </c>
      <c r="U8" s="12" t="s">
        <v>39</v>
      </c>
      <c r="V8" s="12" t="s">
        <v>35</v>
      </c>
      <c r="W8" s="12" t="s">
        <v>36</v>
      </c>
      <c r="X8" s="12" t="s">
        <v>37</v>
      </c>
      <c r="Y8" s="12" t="s">
        <v>38</v>
      </c>
      <c r="Z8" s="12" t="s">
        <v>39</v>
      </c>
      <c r="AA8" s="12" t="s">
        <v>35</v>
      </c>
      <c r="AB8" s="12" t="s">
        <v>36</v>
      </c>
      <c r="AC8" s="12" t="s">
        <v>37</v>
      </c>
      <c r="AD8" s="12" t="s">
        <v>38</v>
      </c>
      <c r="AE8" s="12" t="s">
        <v>39</v>
      </c>
    </row>
    <row r="9" spans="1:31" x14ac:dyDescent="0.25">
      <c r="A9" s="13" t="s">
        <v>40</v>
      </c>
      <c r="B9" s="13" t="s">
        <v>41</v>
      </c>
      <c r="C9" s="13" t="s">
        <v>42</v>
      </c>
      <c r="D9" s="13" t="s">
        <v>43</v>
      </c>
      <c r="E9" s="14">
        <v>46041</v>
      </c>
      <c r="F9" s="14">
        <v>46041</v>
      </c>
      <c r="G9" s="13">
        <f t="shared" ref="G9:G27" si="0">IF(AND(E9&lt;&gt;"",F9&lt;&gt;""),NETWORKDAYS(E9,F9),"")</f>
        <v>1</v>
      </c>
      <c r="H9" s="15">
        <v>1</v>
      </c>
      <c r="I9" s="13" t="s">
        <v>334</v>
      </c>
      <c r="J9" s="13" t="s">
        <v>13</v>
      </c>
      <c r="K9" s="13" t="s">
        <v>45</v>
      </c>
      <c r="L9" s="16" t="s">
        <v>13</v>
      </c>
      <c r="M9" s="16" t="s">
        <v>13</v>
      </c>
      <c r="N9" s="16" t="s">
        <v>13</v>
      </c>
      <c r="O9" s="16" t="s">
        <v>13</v>
      </c>
      <c r="P9" s="16" t="s">
        <v>13</v>
      </c>
      <c r="Q9" s="16" t="s">
        <v>13</v>
      </c>
      <c r="R9" s="16" t="s">
        <v>13</v>
      </c>
      <c r="S9" s="16" t="s">
        <v>13</v>
      </c>
      <c r="T9" s="16" t="s">
        <v>13</v>
      </c>
      <c r="U9" s="16" t="s">
        <v>13</v>
      </c>
      <c r="V9" s="16" t="s">
        <v>13</v>
      </c>
      <c r="W9" s="16" t="s">
        <v>13</v>
      </c>
      <c r="X9" s="16" t="s">
        <v>13</v>
      </c>
      <c r="Y9" s="16" t="s">
        <v>13</v>
      </c>
      <c r="Z9" s="16" t="s">
        <v>13</v>
      </c>
      <c r="AA9" s="16" t="s">
        <v>13</v>
      </c>
      <c r="AB9" s="16" t="s">
        <v>13</v>
      </c>
      <c r="AC9" s="16" t="s">
        <v>13</v>
      </c>
      <c r="AD9" s="16" t="s">
        <v>13</v>
      </c>
      <c r="AE9" s="16" t="s">
        <v>13</v>
      </c>
    </row>
    <row r="10" spans="1:31" ht="30" x14ac:dyDescent="0.25">
      <c r="A10" s="13" t="s">
        <v>46</v>
      </c>
      <c r="B10" s="13" t="s">
        <v>47</v>
      </c>
      <c r="C10" s="13" t="s">
        <v>42</v>
      </c>
      <c r="D10" s="13" t="s">
        <v>43</v>
      </c>
      <c r="E10" s="14">
        <v>46041</v>
      </c>
      <c r="F10" s="14">
        <v>46042</v>
      </c>
      <c r="G10" s="13">
        <f t="shared" si="0"/>
        <v>2</v>
      </c>
      <c r="H10" s="15">
        <v>1</v>
      </c>
      <c r="I10" s="13" t="s">
        <v>334</v>
      </c>
      <c r="J10" s="13" t="s">
        <v>13</v>
      </c>
      <c r="K10" s="13" t="s">
        <v>13</v>
      </c>
      <c r="L10" s="16" t="s">
        <v>13</v>
      </c>
      <c r="M10" s="16" t="s">
        <v>13</v>
      </c>
      <c r="N10" s="16" t="s">
        <v>13</v>
      </c>
      <c r="O10" s="16" t="s">
        <v>13</v>
      </c>
      <c r="P10" s="16" t="s">
        <v>13</v>
      </c>
      <c r="Q10" s="16" t="s">
        <v>13</v>
      </c>
      <c r="R10" s="16" t="s">
        <v>13</v>
      </c>
      <c r="S10" s="16" t="s">
        <v>13</v>
      </c>
      <c r="T10" s="16" t="s">
        <v>13</v>
      </c>
      <c r="U10" s="16" t="s">
        <v>13</v>
      </c>
      <c r="V10" s="16" t="s">
        <v>13</v>
      </c>
      <c r="W10" s="16" t="s">
        <v>13</v>
      </c>
      <c r="X10" s="16" t="s">
        <v>13</v>
      </c>
      <c r="Y10" s="16" t="s">
        <v>13</v>
      </c>
      <c r="Z10" s="16" t="s">
        <v>13</v>
      </c>
      <c r="AA10" s="16" t="s">
        <v>13</v>
      </c>
      <c r="AB10" s="16" t="s">
        <v>13</v>
      </c>
      <c r="AC10" s="16" t="s">
        <v>13</v>
      </c>
      <c r="AD10" s="16" t="s">
        <v>13</v>
      </c>
      <c r="AE10" s="16" t="s">
        <v>13</v>
      </c>
    </row>
    <row r="11" spans="1:31" ht="30" x14ac:dyDescent="0.25">
      <c r="A11" s="13" t="s">
        <v>49</v>
      </c>
      <c r="B11" s="13" t="s">
        <v>50</v>
      </c>
      <c r="C11" s="13" t="s">
        <v>51</v>
      </c>
      <c r="D11" s="13" t="s">
        <v>43</v>
      </c>
      <c r="E11" s="14">
        <v>46042</v>
      </c>
      <c r="F11" s="14">
        <v>46043</v>
      </c>
      <c r="G11" s="13">
        <f t="shared" si="0"/>
        <v>2</v>
      </c>
      <c r="H11" s="15">
        <v>1</v>
      </c>
      <c r="I11" s="13" t="s">
        <v>334</v>
      </c>
      <c r="J11" s="13" t="s">
        <v>13</v>
      </c>
      <c r="K11" s="13" t="s">
        <v>13</v>
      </c>
      <c r="L11" s="16" t="s">
        <v>13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13</v>
      </c>
      <c r="U11" s="16" t="s">
        <v>13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</row>
    <row r="12" spans="1:31" ht="30" x14ac:dyDescent="0.25">
      <c r="A12" s="13" t="s">
        <v>52</v>
      </c>
      <c r="B12" s="13" t="s">
        <v>53</v>
      </c>
      <c r="C12" s="13" t="s">
        <v>54</v>
      </c>
      <c r="D12" s="13" t="s">
        <v>43</v>
      </c>
      <c r="E12" s="14">
        <v>46043</v>
      </c>
      <c r="F12" s="14">
        <v>46045</v>
      </c>
      <c r="G12" s="13">
        <f t="shared" si="0"/>
        <v>3</v>
      </c>
      <c r="H12" s="15">
        <v>1</v>
      </c>
      <c r="I12" s="13" t="s">
        <v>334</v>
      </c>
      <c r="J12" s="13" t="s">
        <v>49</v>
      </c>
      <c r="K12" s="13" t="s">
        <v>55</v>
      </c>
      <c r="L12" s="16" t="s">
        <v>13</v>
      </c>
      <c r="M12" s="16" t="s">
        <v>13</v>
      </c>
      <c r="N12" s="16" t="s">
        <v>13</v>
      </c>
      <c r="O12" s="16" t="s">
        <v>13</v>
      </c>
      <c r="P12" s="16" t="s">
        <v>13</v>
      </c>
      <c r="Q12" s="16" t="s">
        <v>13</v>
      </c>
      <c r="R12" s="16" t="s">
        <v>13</v>
      </c>
      <c r="S12" s="16" t="s">
        <v>13</v>
      </c>
      <c r="T12" s="16" t="s">
        <v>13</v>
      </c>
      <c r="U12" s="16" t="s">
        <v>13</v>
      </c>
      <c r="V12" s="16" t="s">
        <v>13</v>
      </c>
      <c r="W12" s="16" t="s">
        <v>13</v>
      </c>
      <c r="X12" s="16" t="s">
        <v>13</v>
      </c>
      <c r="Y12" s="16" t="s">
        <v>13</v>
      </c>
      <c r="Z12" s="16" t="s">
        <v>13</v>
      </c>
      <c r="AA12" s="16" t="s">
        <v>13</v>
      </c>
      <c r="AB12" s="16" t="s">
        <v>13</v>
      </c>
      <c r="AC12" s="16" t="s">
        <v>13</v>
      </c>
      <c r="AD12" s="16" t="s">
        <v>13</v>
      </c>
      <c r="AE12" s="16" t="s">
        <v>13</v>
      </c>
    </row>
    <row r="13" spans="1:31" ht="30" x14ac:dyDescent="0.25">
      <c r="A13" s="13" t="s">
        <v>56</v>
      </c>
      <c r="B13" s="13" t="s">
        <v>57</v>
      </c>
      <c r="C13" s="13" t="s">
        <v>58</v>
      </c>
      <c r="D13" s="13" t="s">
        <v>43</v>
      </c>
      <c r="E13" s="14">
        <v>46045</v>
      </c>
      <c r="F13" s="14">
        <v>46049</v>
      </c>
      <c r="G13" s="13">
        <f t="shared" si="0"/>
        <v>3</v>
      </c>
      <c r="H13" s="15">
        <v>0.3</v>
      </c>
      <c r="I13" s="13" t="s">
        <v>44</v>
      </c>
      <c r="J13" s="13" t="s">
        <v>52</v>
      </c>
      <c r="K13" s="13" t="s">
        <v>59</v>
      </c>
      <c r="L13" s="16" t="s">
        <v>13</v>
      </c>
      <c r="M13" s="16" t="s">
        <v>13</v>
      </c>
      <c r="N13" s="16" t="s">
        <v>13</v>
      </c>
      <c r="O13" s="16" t="s">
        <v>13</v>
      </c>
      <c r="P13" s="16" t="s">
        <v>13</v>
      </c>
      <c r="Q13" s="16" t="s">
        <v>13</v>
      </c>
      <c r="R13" s="16" t="s">
        <v>13</v>
      </c>
      <c r="S13" s="16" t="s">
        <v>13</v>
      </c>
      <c r="T13" s="16" t="s">
        <v>13</v>
      </c>
      <c r="U13" s="16" t="s">
        <v>13</v>
      </c>
      <c r="V13" s="16" t="s">
        <v>13</v>
      </c>
      <c r="W13" s="16" t="s">
        <v>13</v>
      </c>
      <c r="X13" s="16" t="s">
        <v>13</v>
      </c>
      <c r="Y13" s="16" t="s">
        <v>13</v>
      </c>
      <c r="Z13" s="16" t="s">
        <v>13</v>
      </c>
      <c r="AA13" s="16" t="s">
        <v>13</v>
      </c>
      <c r="AB13" s="16" t="s">
        <v>13</v>
      </c>
      <c r="AC13" s="16" t="s">
        <v>13</v>
      </c>
      <c r="AD13" s="16" t="s">
        <v>13</v>
      </c>
      <c r="AE13" s="16" t="s">
        <v>13</v>
      </c>
    </row>
    <row r="14" spans="1:31" x14ac:dyDescent="0.25">
      <c r="A14" s="13" t="s">
        <v>60</v>
      </c>
      <c r="B14" s="13" t="s">
        <v>61</v>
      </c>
      <c r="C14" s="13" t="s">
        <v>62</v>
      </c>
      <c r="D14" s="13" t="s">
        <v>43</v>
      </c>
      <c r="E14" s="14">
        <v>46049</v>
      </c>
      <c r="F14" s="14">
        <v>46049</v>
      </c>
      <c r="G14" s="13">
        <f t="shared" si="0"/>
        <v>1</v>
      </c>
      <c r="H14" s="15">
        <v>0</v>
      </c>
      <c r="I14" s="13" t="s">
        <v>48</v>
      </c>
      <c r="J14" s="13" t="s">
        <v>56</v>
      </c>
      <c r="K14" s="13" t="s">
        <v>13</v>
      </c>
      <c r="L14" s="16" t="s">
        <v>13</v>
      </c>
      <c r="M14" s="16" t="s">
        <v>13</v>
      </c>
      <c r="N14" s="16" t="s">
        <v>13</v>
      </c>
      <c r="O14" s="16" t="s">
        <v>13</v>
      </c>
      <c r="P14" s="16" t="s">
        <v>13</v>
      </c>
      <c r="Q14" s="16" t="s">
        <v>13</v>
      </c>
      <c r="R14" s="16" t="s">
        <v>13</v>
      </c>
      <c r="S14" s="16" t="s">
        <v>13</v>
      </c>
      <c r="T14" s="16" t="s">
        <v>13</v>
      </c>
      <c r="U14" s="16" t="s">
        <v>13</v>
      </c>
      <c r="V14" s="16" t="s">
        <v>13</v>
      </c>
      <c r="W14" s="16" t="s">
        <v>13</v>
      </c>
      <c r="X14" s="16" t="s">
        <v>13</v>
      </c>
      <c r="Y14" s="16" t="s">
        <v>13</v>
      </c>
      <c r="Z14" s="16" t="s">
        <v>13</v>
      </c>
      <c r="AA14" s="16" t="s">
        <v>13</v>
      </c>
      <c r="AB14" s="16" t="s">
        <v>13</v>
      </c>
      <c r="AC14" s="16" t="s">
        <v>13</v>
      </c>
      <c r="AD14" s="16" t="s">
        <v>13</v>
      </c>
      <c r="AE14" s="16" t="s">
        <v>13</v>
      </c>
    </row>
    <row r="15" spans="1:31" ht="30" x14ac:dyDescent="0.25">
      <c r="A15" s="13" t="s">
        <v>63</v>
      </c>
      <c r="B15" s="13" t="s">
        <v>64</v>
      </c>
      <c r="C15" s="13" t="s">
        <v>65</v>
      </c>
      <c r="D15" s="13" t="s">
        <v>43</v>
      </c>
      <c r="E15" s="14">
        <v>46050</v>
      </c>
      <c r="F15" s="14">
        <v>46052</v>
      </c>
      <c r="G15" s="13">
        <f t="shared" si="0"/>
        <v>3</v>
      </c>
      <c r="H15" s="15">
        <v>0</v>
      </c>
      <c r="I15" s="13" t="s">
        <v>48</v>
      </c>
      <c r="J15" s="13" t="s">
        <v>60</v>
      </c>
      <c r="K15" s="13" t="s">
        <v>66</v>
      </c>
      <c r="L15" s="16" t="s">
        <v>13</v>
      </c>
      <c r="M15" s="16" t="s">
        <v>13</v>
      </c>
      <c r="N15" s="16" t="s">
        <v>13</v>
      </c>
      <c r="O15" s="16" t="s">
        <v>13</v>
      </c>
      <c r="P15" s="16" t="s">
        <v>13</v>
      </c>
      <c r="Q15" s="16" t="s">
        <v>13</v>
      </c>
      <c r="R15" s="16" t="s">
        <v>13</v>
      </c>
      <c r="S15" s="16" t="s">
        <v>13</v>
      </c>
      <c r="T15" s="16" t="s">
        <v>13</v>
      </c>
      <c r="U15" s="16" t="s">
        <v>13</v>
      </c>
      <c r="V15" s="16" t="s">
        <v>13</v>
      </c>
      <c r="W15" s="16" t="s">
        <v>13</v>
      </c>
      <c r="X15" s="16" t="s">
        <v>13</v>
      </c>
      <c r="Y15" s="16" t="s">
        <v>13</v>
      </c>
      <c r="Z15" s="16" t="s">
        <v>13</v>
      </c>
      <c r="AA15" s="16" t="s">
        <v>13</v>
      </c>
      <c r="AB15" s="16" t="s">
        <v>13</v>
      </c>
      <c r="AC15" s="16" t="s">
        <v>13</v>
      </c>
      <c r="AD15" s="16" t="s">
        <v>13</v>
      </c>
      <c r="AE15" s="16" t="s">
        <v>13</v>
      </c>
    </row>
    <row r="16" spans="1:31" ht="30" x14ac:dyDescent="0.25">
      <c r="A16" s="13" t="s">
        <v>67</v>
      </c>
      <c r="B16" s="13" t="s">
        <v>68</v>
      </c>
      <c r="C16" s="13" t="s">
        <v>54</v>
      </c>
      <c r="D16" s="13" t="s">
        <v>43</v>
      </c>
      <c r="E16" s="14">
        <v>46052</v>
      </c>
      <c r="F16" s="14">
        <v>46055</v>
      </c>
      <c r="G16" s="13">
        <f t="shared" si="0"/>
        <v>2</v>
      </c>
      <c r="H16" s="15">
        <v>0</v>
      </c>
      <c r="I16" s="13" t="s">
        <v>48</v>
      </c>
      <c r="J16" s="13" t="s">
        <v>63</v>
      </c>
      <c r="K16" s="13" t="s">
        <v>69</v>
      </c>
      <c r="L16" s="16" t="s">
        <v>13</v>
      </c>
      <c r="M16" s="16" t="s">
        <v>13</v>
      </c>
      <c r="N16" s="16" t="s">
        <v>13</v>
      </c>
      <c r="O16" s="16" t="s">
        <v>13</v>
      </c>
      <c r="P16" s="16" t="s">
        <v>13</v>
      </c>
      <c r="Q16" s="16" t="s">
        <v>13</v>
      </c>
      <c r="R16" s="16" t="s">
        <v>13</v>
      </c>
      <c r="S16" s="16" t="s">
        <v>13</v>
      </c>
      <c r="T16" s="16" t="s">
        <v>13</v>
      </c>
      <c r="U16" s="16" t="s">
        <v>13</v>
      </c>
      <c r="V16" s="16" t="s">
        <v>13</v>
      </c>
      <c r="W16" s="16" t="s">
        <v>13</v>
      </c>
      <c r="X16" s="16" t="s">
        <v>13</v>
      </c>
      <c r="Y16" s="16" t="s">
        <v>13</v>
      </c>
      <c r="Z16" s="16" t="s">
        <v>13</v>
      </c>
      <c r="AA16" s="16" t="s">
        <v>13</v>
      </c>
      <c r="AB16" s="16" t="s">
        <v>13</v>
      </c>
      <c r="AC16" s="16" t="s">
        <v>13</v>
      </c>
      <c r="AD16" s="16" t="s">
        <v>13</v>
      </c>
      <c r="AE16" s="16" t="s">
        <v>13</v>
      </c>
    </row>
    <row r="17" spans="1:31" ht="30" x14ac:dyDescent="0.25">
      <c r="A17" s="13" t="s">
        <v>70</v>
      </c>
      <c r="B17" s="13" t="s">
        <v>71</v>
      </c>
      <c r="C17" s="13" t="s">
        <v>58</v>
      </c>
      <c r="D17" s="13" t="s">
        <v>43</v>
      </c>
      <c r="E17" s="14">
        <v>46055</v>
      </c>
      <c r="F17" s="14">
        <v>46057</v>
      </c>
      <c r="G17" s="13">
        <f t="shared" si="0"/>
        <v>3</v>
      </c>
      <c r="H17" s="15">
        <v>0</v>
      </c>
      <c r="I17" s="13" t="s">
        <v>48</v>
      </c>
      <c r="J17" s="13" t="s">
        <v>67</v>
      </c>
      <c r="K17" s="13" t="s">
        <v>13</v>
      </c>
      <c r="L17" s="16" t="s">
        <v>13</v>
      </c>
      <c r="M17" s="16" t="s">
        <v>13</v>
      </c>
      <c r="N17" s="16" t="s">
        <v>13</v>
      </c>
      <c r="O17" s="16" t="s">
        <v>13</v>
      </c>
      <c r="P17" s="16" t="s">
        <v>13</v>
      </c>
      <c r="Q17" s="16" t="s">
        <v>13</v>
      </c>
      <c r="R17" s="16" t="s">
        <v>13</v>
      </c>
      <c r="S17" s="16" t="s">
        <v>13</v>
      </c>
      <c r="T17" s="16" t="s">
        <v>13</v>
      </c>
      <c r="U17" s="16" t="s">
        <v>13</v>
      </c>
      <c r="V17" s="16" t="s">
        <v>13</v>
      </c>
      <c r="W17" s="16" t="s">
        <v>13</v>
      </c>
      <c r="X17" s="16" t="s">
        <v>13</v>
      </c>
      <c r="Y17" s="16" t="s">
        <v>13</v>
      </c>
      <c r="Z17" s="16" t="s">
        <v>13</v>
      </c>
      <c r="AA17" s="16" t="s">
        <v>13</v>
      </c>
      <c r="AB17" s="16" t="s">
        <v>13</v>
      </c>
      <c r="AC17" s="16" t="s">
        <v>13</v>
      </c>
      <c r="AD17" s="16" t="s">
        <v>13</v>
      </c>
      <c r="AE17" s="16" t="s">
        <v>13</v>
      </c>
    </row>
    <row r="18" spans="1:31" ht="30" x14ac:dyDescent="0.25">
      <c r="A18" s="13" t="s">
        <v>72</v>
      </c>
      <c r="B18" s="13" t="s">
        <v>73</v>
      </c>
      <c r="C18" s="13" t="s">
        <v>65</v>
      </c>
      <c r="D18" s="13" t="s">
        <v>43</v>
      </c>
      <c r="E18" s="14">
        <v>46057</v>
      </c>
      <c r="F18" s="14">
        <v>46059</v>
      </c>
      <c r="G18" s="13">
        <f t="shared" si="0"/>
        <v>3</v>
      </c>
      <c r="H18" s="15">
        <v>0</v>
      </c>
      <c r="I18" s="13" t="s">
        <v>48</v>
      </c>
      <c r="J18" s="13" t="s">
        <v>70</v>
      </c>
      <c r="K18" s="13" t="s">
        <v>13</v>
      </c>
      <c r="L18" s="16" t="s">
        <v>13</v>
      </c>
      <c r="M18" s="16" t="s">
        <v>13</v>
      </c>
      <c r="N18" s="16" t="s">
        <v>13</v>
      </c>
      <c r="O18" s="16" t="s">
        <v>13</v>
      </c>
      <c r="P18" s="16" t="s">
        <v>13</v>
      </c>
      <c r="Q18" s="16" t="s">
        <v>13</v>
      </c>
      <c r="R18" s="16" t="s">
        <v>13</v>
      </c>
      <c r="S18" s="16" t="s">
        <v>13</v>
      </c>
      <c r="T18" s="16" t="s">
        <v>13</v>
      </c>
      <c r="U18" s="16" t="s">
        <v>13</v>
      </c>
      <c r="V18" s="16" t="s">
        <v>13</v>
      </c>
      <c r="W18" s="16" t="s">
        <v>13</v>
      </c>
      <c r="X18" s="16" t="s">
        <v>13</v>
      </c>
      <c r="Y18" s="16" t="s">
        <v>13</v>
      </c>
      <c r="Z18" s="16" t="s">
        <v>13</v>
      </c>
      <c r="AA18" s="16" t="s">
        <v>13</v>
      </c>
      <c r="AB18" s="16" t="s">
        <v>13</v>
      </c>
      <c r="AC18" s="16" t="s">
        <v>13</v>
      </c>
      <c r="AD18" s="16" t="s">
        <v>13</v>
      </c>
      <c r="AE18" s="16" t="s">
        <v>13</v>
      </c>
    </row>
    <row r="19" spans="1:31" ht="45" x14ac:dyDescent="0.25">
      <c r="A19" s="13" t="s">
        <v>74</v>
      </c>
      <c r="B19" s="13" t="s">
        <v>75</v>
      </c>
      <c r="C19" s="13" t="s">
        <v>76</v>
      </c>
      <c r="D19" s="13" t="s">
        <v>43</v>
      </c>
      <c r="E19" s="14">
        <v>46057</v>
      </c>
      <c r="F19" s="14">
        <v>46059</v>
      </c>
      <c r="G19" s="13">
        <f t="shared" si="0"/>
        <v>3</v>
      </c>
      <c r="H19" s="15">
        <v>0</v>
      </c>
      <c r="I19" s="13" t="s">
        <v>48</v>
      </c>
      <c r="J19" s="13" t="s">
        <v>13</v>
      </c>
      <c r="K19" s="13" t="s">
        <v>13</v>
      </c>
      <c r="L19" s="16" t="s">
        <v>13</v>
      </c>
      <c r="M19" s="16" t="s">
        <v>13</v>
      </c>
      <c r="N19" s="16" t="s">
        <v>13</v>
      </c>
      <c r="O19" s="16" t="s">
        <v>13</v>
      </c>
      <c r="P19" s="16" t="s">
        <v>13</v>
      </c>
      <c r="Q19" s="16" t="s">
        <v>13</v>
      </c>
      <c r="R19" s="16" t="s">
        <v>13</v>
      </c>
      <c r="S19" s="16" t="s">
        <v>13</v>
      </c>
      <c r="T19" s="16" t="s">
        <v>13</v>
      </c>
      <c r="U19" s="16" t="s">
        <v>13</v>
      </c>
      <c r="V19" s="16" t="s">
        <v>13</v>
      </c>
      <c r="W19" s="16" t="s">
        <v>13</v>
      </c>
      <c r="X19" s="16" t="s">
        <v>13</v>
      </c>
      <c r="Y19" s="16" t="s">
        <v>13</v>
      </c>
      <c r="Z19" s="16" t="s">
        <v>13</v>
      </c>
      <c r="AA19" s="16" t="s">
        <v>13</v>
      </c>
      <c r="AB19" s="16" t="s">
        <v>13</v>
      </c>
      <c r="AC19" s="16" t="s">
        <v>13</v>
      </c>
      <c r="AD19" s="16" t="s">
        <v>13</v>
      </c>
      <c r="AE19" s="16" t="s">
        <v>13</v>
      </c>
    </row>
    <row r="20" spans="1:31" x14ac:dyDescent="0.25">
      <c r="A20" s="13" t="s">
        <v>77</v>
      </c>
      <c r="B20" s="13" t="s">
        <v>78</v>
      </c>
      <c r="C20" s="13" t="s">
        <v>79</v>
      </c>
      <c r="D20" s="13" t="s">
        <v>43</v>
      </c>
      <c r="E20" s="14">
        <v>46059</v>
      </c>
      <c r="F20" s="14">
        <v>46063</v>
      </c>
      <c r="G20" s="13">
        <f t="shared" si="0"/>
        <v>3</v>
      </c>
      <c r="H20" s="15">
        <v>0</v>
      </c>
      <c r="I20" s="13" t="s">
        <v>48</v>
      </c>
      <c r="J20" s="13" t="s">
        <v>72</v>
      </c>
      <c r="K20" s="13" t="s">
        <v>80</v>
      </c>
      <c r="L20" s="16" t="s">
        <v>13</v>
      </c>
      <c r="M20" s="16" t="s">
        <v>13</v>
      </c>
      <c r="N20" s="16" t="s">
        <v>13</v>
      </c>
      <c r="O20" s="16" t="s">
        <v>13</v>
      </c>
      <c r="P20" s="16" t="s">
        <v>13</v>
      </c>
      <c r="Q20" s="16" t="s">
        <v>13</v>
      </c>
      <c r="R20" s="16" t="s">
        <v>13</v>
      </c>
      <c r="S20" s="16" t="s">
        <v>13</v>
      </c>
      <c r="T20" s="16" t="s">
        <v>13</v>
      </c>
      <c r="U20" s="16" t="s">
        <v>13</v>
      </c>
      <c r="V20" s="16" t="s">
        <v>13</v>
      </c>
      <c r="W20" s="16" t="s">
        <v>13</v>
      </c>
      <c r="X20" s="16" t="s">
        <v>13</v>
      </c>
      <c r="Y20" s="16" t="s">
        <v>13</v>
      </c>
      <c r="Z20" s="16" t="s">
        <v>13</v>
      </c>
      <c r="AA20" s="16" t="s">
        <v>13</v>
      </c>
      <c r="AB20" s="16" t="s">
        <v>13</v>
      </c>
      <c r="AC20" s="16" t="s">
        <v>13</v>
      </c>
      <c r="AD20" s="16" t="s">
        <v>13</v>
      </c>
      <c r="AE20" s="16" t="s">
        <v>13</v>
      </c>
    </row>
    <row r="21" spans="1:31" x14ac:dyDescent="0.25">
      <c r="A21" s="13" t="s">
        <v>81</v>
      </c>
      <c r="B21" s="13" t="s">
        <v>82</v>
      </c>
      <c r="C21" s="13" t="s">
        <v>62</v>
      </c>
      <c r="D21" s="13" t="s">
        <v>43</v>
      </c>
      <c r="E21" s="14">
        <v>46063</v>
      </c>
      <c r="F21" s="14">
        <v>46063</v>
      </c>
      <c r="G21" s="13">
        <f t="shared" si="0"/>
        <v>1</v>
      </c>
      <c r="H21" s="15">
        <v>0</v>
      </c>
      <c r="I21" s="13" t="s">
        <v>48</v>
      </c>
      <c r="J21" s="13" t="s">
        <v>77</v>
      </c>
      <c r="K21" s="13" t="s">
        <v>13</v>
      </c>
      <c r="L21" s="16" t="s">
        <v>13</v>
      </c>
      <c r="M21" s="16" t="s">
        <v>13</v>
      </c>
      <c r="N21" s="16" t="s">
        <v>13</v>
      </c>
      <c r="O21" s="16" t="s">
        <v>13</v>
      </c>
      <c r="P21" s="16" t="s">
        <v>13</v>
      </c>
      <c r="Q21" s="16" t="s">
        <v>13</v>
      </c>
      <c r="R21" s="16" t="s">
        <v>13</v>
      </c>
      <c r="S21" s="16" t="s">
        <v>13</v>
      </c>
      <c r="T21" s="16" t="s">
        <v>13</v>
      </c>
      <c r="U21" s="16" t="s">
        <v>13</v>
      </c>
      <c r="V21" s="16" t="s">
        <v>13</v>
      </c>
      <c r="W21" s="16" t="s">
        <v>13</v>
      </c>
      <c r="X21" s="16" t="s">
        <v>13</v>
      </c>
      <c r="Y21" s="16" t="s">
        <v>13</v>
      </c>
      <c r="Z21" s="16" t="s">
        <v>13</v>
      </c>
      <c r="AA21" s="16" t="s">
        <v>13</v>
      </c>
      <c r="AB21" s="16" t="s">
        <v>13</v>
      </c>
      <c r="AC21" s="16" t="s">
        <v>13</v>
      </c>
      <c r="AD21" s="16" t="s">
        <v>13</v>
      </c>
      <c r="AE21" s="16" t="s">
        <v>13</v>
      </c>
    </row>
    <row r="22" spans="1:31" ht="30" x14ac:dyDescent="0.25">
      <c r="A22" s="13" t="s">
        <v>83</v>
      </c>
      <c r="B22" s="13" t="s">
        <v>84</v>
      </c>
      <c r="C22" s="13" t="s">
        <v>79</v>
      </c>
      <c r="D22" s="13" t="s">
        <v>43</v>
      </c>
      <c r="E22" s="14">
        <v>46063</v>
      </c>
      <c r="F22" s="14">
        <v>46065</v>
      </c>
      <c r="G22" s="13">
        <f t="shared" si="0"/>
        <v>3</v>
      </c>
      <c r="H22" s="15">
        <v>0</v>
      </c>
      <c r="I22" s="13" t="s">
        <v>48</v>
      </c>
      <c r="J22" s="13" t="s">
        <v>81</v>
      </c>
      <c r="K22" s="13" t="s">
        <v>13</v>
      </c>
      <c r="L22" s="16" t="s">
        <v>13</v>
      </c>
      <c r="M22" s="16" t="s">
        <v>13</v>
      </c>
      <c r="N22" s="16" t="s">
        <v>13</v>
      </c>
      <c r="O22" s="16" t="s">
        <v>13</v>
      </c>
      <c r="P22" s="16" t="s">
        <v>13</v>
      </c>
      <c r="Q22" s="16" t="s">
        <v>13</v>
      </c>
      <c r="R22" s="16" t="s">
        <v>13</v>
      </c>
      <c r="S22" s="16" t="s">
        <v>13</v>
      </c>
      <c r="T22" s="16" t="s">
        <v>13</v>
      </c>
      <c r="U22" s="16" t="s">
        <v>13</v>
      </c>
      <c r="V22" s="16" t="s">
        <v>13</v>
      </c>
      <c r="W22" s="16" t="s">
        <v>13</v>
      </c>
      <c r="X22" s="16" t="s">
        <v>13</v>
      </c>
      <c r="Y22" s="16" t="s">
        <v>13</v>
      </c>
      <c r="Z22" s="16" t="s">
        <v>13</v>
      </c>
      <c r="AA22" s="16" t="s">
        <v>13</v>
      </c>
      <c r="AB22" s="16" t="s">
        <v>13</v>
      </c>
      <c r="AC22" s="16" t="s">
        <v>13</v>
      </c>
      <c r="AD22" s="16" t="s">
        <v>13</v>
      </c>
      <c r="AE22" s="16" t="s">
        <v>13</v>
      </c>
    </row>
    <row r="23" spans="1:31" x14ac:dyDescent="0.25">
      <c r="A23" s="13" t="s">
        <v>85</v>
      </c>
      <c r="B23" s="13" t="s">
        <v>86</v>
      </c>
      <c r="C23" s="13" t="s">
        <v>62</v>
      </c>
      <c r="D23" s="13" t="s">
        <v>43</v>
      </c>
      <c r="E23" s="14">
        <v>46065</v>
      </c>
      <c r="F23" s="14">
        <v>46065</v>
      </c>
      <c r="G23" s="13">
        <f t="shared" si="0"/>
        <v>1</v>
      </c>
      <c r="H23" s="15">
        <v>0</v>
      </c>
      <c r="I23" s="13" t="s">
        <v>48</v>
      </c>
      <c r="J23" s="13" t="s">
        <v>83</v>
      </c>
      <c r="K23" s="13" t="s">
        <v>13</v>
      </c>
      <c r="L23" s="16" t="s">
        <v>13</v>
      </c>
      <c r="M23" s="16" t="s">
        <v>13</v>
      </c>
      <c r="N23" s="16" t="s">
        <v>13</v>
      </c>
      <c r="O23" s="16" t="s">
        <v>13</v>
      </c>
      <c r="P23" s="16" t="s">
        <v>13</v>
      </c>
      <c r="Q23" s="16" t="s">
        <v>13</v>
      </c>
      <c r="R23" s="16" t="s">
        <v>13</v>
      </c>
      <c r="S23" s="16" t="s">
        <v>13</v>
      </c>
      <c r="T23" s="16" t="s">
        <v>13</v>
      </c>
      <c r="U23" s="16" t="s">
        <v>13</v>
      </c>
      <c r="V23" s="16" t="s">
        <v>13</v>
      </c>
      <c r="W23" s="16" t="s">
        <v>13</v>
      </c>
      <c r="X23" s="16" t="s">
        <v>13</v>
      </c>
      <c r="Y23" s="16" t="s">
        <v>13</v>
      </c>
      <c r="Z23" s="16" t="s">
        <v>13</v>
      </c>
      <c r="AA23" s="16" t="s">
        <v>13</v>
      </c>
      <c r="AB23" s="16" t="s">
        <v>13</v>
      </c>
      <c r="AC23" s="16" t="s">
        <v>13</v>
      </c>
      <c r="AD23" s="16" t="s">
        <v>13</v>
      </c>
      <c r="AE23" s="16" t="s">
        <v>13</v>
      </c>
    </row>
    <row r="24" spans="1:31" ht="30" x14ac:dyDescent="0.25">
      <c r="A24" s="13" t="s">
        <v>87</v>
      </c>
      <c r="B24" s="13" t="s">
        <v>88</v>
      </c>
      <c r="C24" s="13" t="s">
        <v>89</v>
      </c>
      <c r="D24" s="13" t="s">
        <v>43</v>
      </c>
      <c r="E24" s="14">
        <v>46065</v>
      </c>
      <c r="F24" s="14">
        <v>46066</v>
      </c>
      <c r="G24" s="13">
        <f t="shared" si="0"/>
        <v>2</v>
      </c>
      <c r="H24" s="15">
        <v>0</v>
      </c>
      <c r="I24" s="13" t="s">
        <v>48</v>
      </c>
      <c r="J24" s="13" t="s">
        <v>85</v>
      </c>
      <c r="K24" s="13" t="s">
        <v>13</v>
      </c>
      <c r="L24" s="16" t="s">
        <v>13</v>
      </c>
      <c r="M24" s="16" t="s">
        <v>13</v>
      </c>
      <c r="N24" s="16" t="s">
        <v>13</v>
      </c>
      <c r="O24" s="16" t="s">
        <v>13</v>
      </c>
      <c r="P24" s="16" t="s">
        <v>13</v>
      </c>
      <c r="Q24" s="16" t="s">
        <v>13</v>
      </c>
      <c r="R24" s="16" t="s">
        <v>13</v>
      </c>
      <c r="S24" s="16" t="s">
        <v>13</v>
      </c>
      <c r="T24" s="16" t="s">
        <v>13</v>
      </c>
      <c r="U24" s="16" t="s">
        <v>13</v>
      </c>
      <c r="V24" s="16" t="s">
        <v>13</v>
      </c>
      <c r="W24" s="16" t="s">
        <v>13</v>
      </c>
      <c r="X24" s="16" t="s">
        <v>13</v>
      </c>
      <c r="Y24" s="16" t="s">
        <v>13</v>
      </c>
      <c r="Z24" s="16" t="s">
        <v>13</v>
      </c>
      <c r="AA24" s="16" t="s">
        <v>13</v>
      </c>
      <c r="AB24" s="16" t="s">
        <v>13</v>
      </c>
      <c r="AC24" s="16" t="s">
        <v>13</v>
      </c>
      <c r="AD24" s="16" t="s">
        <v>13</v>
      </c>
      <c r="AE24" s="16" t="s">
        <v>13</v>
      </c>
    </row>
    <row r="25" spans="1:31" x14ac:dyDescent="0.25">
      <c r="A25" s="13" t="s">
        <v>90</v>
      </c>
      <c r="B25" s="13" t="s">
        <v>91</v>
      </c>
      <c r="C25" s="13" t="s">
        <v>62</v>
      </c>
      <c r="D25" s="13" t="s">
        <v>43</v>
      </c>
      <c r="E25" s="14">
        <v>46066</v>
      </c>
      <c r="F25" s="14">
        <v>46066</v>
      </c>
      <c r="G25" s="13">
        <f t="shared" si="0"/>
        <v>1</v>
      </c>
      <c r="H25" s="15">
        <v>0</v>
      </c>
      <c r="I25" s="13" t="s">
        <v>48</v>
      </c>
      <c r="J25" s="13" t="s">
        <v>87</v>
      </c>
      <c r="K25" s="13" t="s">
        <v>13</v>
      </c>
      <c r="L25" s="16" t="s">
        <v>13</v>
      </c>
      <c r="M25" s="16" t="s">
        <v>13</v>
      </c>
      <c r="N25" s="16" t="s">
        <v>13</v>
      </c>
      <c r="O25" s="16" t="s">
        <v>13</v>
      </c>
      <c r="P25" s="16" t="s">
        <v>13</v>
      </c>
      <c r="Q25" s="16" t="s">
        <v>13</v>
      </c>
      <c r="R25" s="16" t="s">
        <v>13</v>
      </c>
      <c r="S25" s="16" t="s">
        <v>13</v>
      </c>
      <c r="T25" s="16" t="s">
        <v>13</v>
      </c>
      <c r="U25" s="16" t="s">
        <v>13</v>
      </c>
      <c r="V25" s="16" t="s">
        <v>13</v>
      </c>
      <c r="W25" s="16" t="s">
        <v>13</v>
      </c>
      <c r="X25" s="16" t="s">
        <v>13</v>
      </c>
      <c r="Y25" s="16" t="s">
        <v>13</v>
      </c>
      <c r="Z25" s="16" t="s">
        <v>13</v>
      </c>
      <c r="AA25" s="16" t="s">
        <v>13</v>
      </c>
      <c r="AB25" s="16" t="s">
        <v>13</v>
      </c>
      <c r="AC25" s="16" t="s">
        <v>13</v>
      </c>
      <c r="AD25" s="16" t="s">
        <v>13</v>
      </c>
      <c r="AE25" s="16" t="s">
        <v>13</v>
      </c>
    </row>
    <row r="26" spans="1:31" x14ac:dyDescent="0.25">
      <c r="A26" s="13" t="s">
        <v>92</v>
      </c>
      <c r="B26" s="13" t="s">
        <v>93</v>
      </c>
      <c r="C26" s="13" t="s">
        <v>62</v>
      </c>
      <c r="D26" s="13" t="s">
        <v>43</v>
      </c>
      <c r="E26" s="14">
        <v>46066</v>
      </c>
      <c r="F26" s="14">
        <v>46066</v>
      </c>
      <c r="G26" s="13">
        <f t="shared" si="0"/>
        <v>1</v>
      </c>
      <c r="H26" s="15">
        <v>0</v>
      </c>
      <c r="I26" s="13" t="s">
        <v>48</v>
      </c>
      <c r="J26" s="13" t="s">
        <v>90</v>
      </c>
      <c r="K26" s="13" t="s">
        <v>13</v>
      </c>
      <c r="L26" s="16" t="s">
        <v>13</v>
      </c>
      <c r="M26" s="16" t="s">
        <v>13</v>
      </c>
      <c r="N26" s="16" t="s">
        <v>13</v>
      </c>
      <c r="O26" s="16" t="s">
        <v>13</v>
      </c>
      <c r="P26" s="16" t="s">
        <v>13</v>
      </c>
      <c r="Q26" s="16" t="s">
        <v>13</v>
      </c>
      <c r="R26" s="16" t="s">
        <v>13</v>
      </c>
      <c r="S26" s="16" t="s">
        <v>13</v>
      </c>
      <c r="T26" s="16" t="s">
        <v>13</v>
      </c>
      <c r="U26" s="16" t="s">
        <v>13</v>
      </c>
      <c r="V26" s="16" t="s">
        <v>13</v>
      </c>
      <c r="W26" s="16" t="s">
        <v>13</v>
      </c>
      <c r="X26" s="16" t="s">
        <v>13</v>
      </c>
      <c r="Y26" s="16" t="s">
        <v>13</v>
      </c>
      <c r="Z26" s="16" t="s">
        <v>13</v>
      </c>
      <c r="AA26" s="16" t="s">
        <v>13</v>
      </c>
      <c r="AB26" s="16" t="s">
        <v>13</v>
      </c>
      <c r="AC26" s="16" t="s">
        <v>13</v>
      </c>
      <c r="AD26" s="16" t="s">
        <v>13</v>
      </c>
      <c r="AE26" s="16" t="s">
        <v>13</v>
      </c>
    </row>
    <row r="27" spans="1:31" ht="30" x14ac:dyDescent="0.25">
      <c r="A27" s="13" t="s">
        <v>94</v>
      </c>
      <c r="B27" s="13" t="s">
        <v>95</v>
      </c>
      <c r="C27" s="13" t="s">
        <v>96</v>
      </c>
      <c r="D27" s="13" t="s">
        <v>43</v>
      </c>
      <c r="E27" s="14">
        <v>46050</v>
      </c>
      <c r="F27" s="14">
        <v>46066</v>
      </c>
      <c r="G27" s="13">
        <f t="shared" si="0"/>
        <v>13</v>
      </c>
      <c r="H27" s="15">
        <v>0</v>
      </c>
      <c r="I27" s="13" t="s">
        <v>48</v>
      </c>
      <c r="J27" s="13" t="s">
        <v>13</v>
      </c>
      <c r="K27" s="13" t="s">
        <v>97</v>
      </c>
      <c r="L27" s="16" t="s">
        <v>13</v>
      </c>
      <c r="M27" s="16" t="s">
        <v>13</v>
      </c>
      <c r="N27" s="16" t="s">
        <v>13</v>
      </c>
      <c r="O27" s="16" t="s">
        <v>13</v>
      </c>
      <c r="P27" s="16" t="s">
        <v>13</v>
      </c>
      <c r="Q27" s="16" t="s">
        <v>13</v>
      </c>
      <c r="R27" s="16" t="s">
        <v>13</v>
      </c>
      <c r="S27" s="16" t="s">
        <v>13</v>
      </c>
      <c r="T27" s="16" t="s">
        <v>13</v>
      </c>
      <c r="U27" s="16" t="s">
        <v>13</v>
      </c>
      <c r="V27" s="16" t="s">
        <v>13</v>
      </c>
      <c r="W27" s="16" t="s">
        <v>13</v>
      </c>
      <c r="X27" s="16" t="s">
        <v>13</v>
      </c>
      <c r="Y27" s="16" t="s">
        <v>13</v>
      </c>
      <c r="Z27" s="16" t="s">
        <v>13</v>
      </c>
      <c r="AA27" s="16" t="s">
        <v>13</v>
      </c>
      <c r="AB27" s="16" t="s">
        <v>13</v>
      </c>
      <c r="AC27" s="16" t="s">
        <v>13</v>
      </c>
      <c r="AD27" s="16" t="s">
        <v>13</v>
      </c>
      <c r="AE27" s="16" t="s">
        <v>13</v>
      </c>
    </row>
  </sheetData>
  <mergeCells count="5">
    <mergeCell ref="A1:AE1"/>
    <mergeCell ref="A5:K5"/>
    <mergeCell ref="A3:AE3"/>
    <mergeCell ref="A2:AE2"/>
    <mergeCell ref="A4:L4"/>
  </mergeCells>
  <conditionalFormatting sqref="H9:H27">
    <cfRule type="dataBar" priority="9">
      <dataBar>
        <cfvo type="num" val="0"/>
        <cfvo type="num" val="1"/>
        <color rgb="FF0B7285"/>
      </dataBar>
    </cfRule>
  </conditionalFormatting>
  <conditionalFormatting sqref="I9:I27">
    <cfRule type="expression" dxfId="11" priority="1">
      <formula>I9="Done"</formula>
    </cfRule>
    <cfRule type="expression" dxfId="10" priority="2">
      <formula>I9="In Progress"</formula>
    </cfRule>
    <cfRule type="expression" dxfId="9" priority="3">
      <formula>I9="Not Started"</formula>
    </cfRule>
    <cfRule type="expression" dxfId="8" priority="4">
      <formula>I9="Blocked"</formula>
    </cfRule>
  </conditionalFormatting>
  <conditionalFormatting sqref="L9:AE27">
    <cfRule type="expression" dxfId="7" priority="5">
      <formula>AND(L$7&gt;=$E9,L$7&lt;=$F9,$I9="Done")</formula>
    </cfRule>
    <cfRule type="expression" dxfId="6" priority="6">
      <formula>AND(L$7&gt;=$E9,L$7&lt;=$F9,$I9="In Progress")</formula>
    </cfRule>
    <cfRule type="expression" dxfId="5" priority="7">
      <formula>AND(L$7&gt;=$E9,L$7&lt;=$F9,$I9="Not Started")</formula>
    </cfRule>
    <cfRule type="expression" dxfId="4" priority="8">
      <formula>AND(L$7&gt;=$E9,L$7&lt;=$F9,$I9="Blocked")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6"/>
  <sheetViews>
    <sheetView topLeftCell="A5" workbookViewId="0">
      <selection activeCell="K10" sqref="K10"/>
    </sheetView>
  </sheetViews>
  <sheetFormatPr defaultRowHeight="15" x14ac:dyDescent="0.25"/>
  <cols>
    <col min="1" max="1" width="11" bestFit="1" customWidth="1"/>
    <col min="2" max="2" width="27.85546875" bestFit="1" customWidth="1"/>
    <col min="3" max="3" width="26" customWidth="1"/>
    <col min="4" max="4" width="4.140625" bestFit="1" customWidth="1"/>
    <col min="5" max="5" width="11.5703125" bestFit="1" customWidth="1"/>
    <col min="6" max="6" width="8.42578125" bestFit="1" customWidth="1"/>
    <col min="7" max="7" width="12.85546875" bestFit="1" customWidth="1"/>
    <col min="8" max="8" width="9.140625" bestFit="1" customWidth="1"/>
    <col min="9" max="9" width="9.7109375" bestFit="1" customWidth="1"/>
    <col min="10" max="10" width="7.5703125" bestFit="1" customWidth="1"/>
    <col min="11" max="11" width="8.7109375" bestFit="1" customWidth="1"/>
    <col min="12" max="12" width="32.28515625" bestFit="1" customWidth="1"/>
  </cols>
  <sheetData>
    <row r="1" spans="1:14" ht="23.25" x14ac:dyDescent="0.35">
      <c r="A1" s="45" t="s">
        <v>98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x14ac:dyDescent="0.25">
      <c r="A2" s="40" t="s">
        <v>99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14" x14ac:dyDescent="0.25">
      <c r="A3" s="38" t="s">
        <v>100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</row>
    <row r="5" spans="1:14" x14ac:dyDescent="0.25">
      <c r="A5" s="46" t="s">
        <v>101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4"/>
    </row>
    <row r="7" spans="1:14" ht="30" x14ac:dyDescent="0.25">
      <c r="A7" s="4" t="s">
        <v>28</v>
      </c>
      <c r="B7" s="4" t="s">
        <v>102</v>
      </c>
      <c r="C7" s="4" t="s">
        <v>103</v>
      </c>
      <c r="D7" s="4" t="s">
        <v>104</v>
      </c>
      <c r="E7" s="4" t="s">
        <v>105</v>
      </c>
      <c r="F7" s="4" t="s">
        <v>106</v>
      </c>
      <c r="G7" s="4" t="s">
        <v>107</v>
      </c>
      <c r="H7" s="4" t="s">
        <v>108</v>
      </c>
      <c r="I7" s="4" t="s">
        <v>109</v>
      </c>
      <c r="J7" s="4" t="s">
        <v>110</v>
      </c>
      <c r="K7" s="4" t="s">
        <v>10</v>
      </c>
      <c r="L7" s="4" t="s">
        <v>11</v>
      </c>
    </row>
    <row r="8" spans="1:14" x14ac:dyDescent="0.25">
      <c r="A8" s="13" t="s">
        <v>111</v>
      </c>
      <c r="B8" s="13" t="s">
        <v>112</v>
      </c>
      <c r="C8" s="13" t="s">
        <v>113</v>
      </c>
      <c r="D8" s="13">
        <v>1</v>
      </c>
      <c r="E8" s="13" t="s">
        <v>114</v>
      </c>
      <c r="F8" s="13" t="s">
        <v>13</v>
      </c>
      <c r="G8" s="13" t="s">
        <v>13</v>
      </c>
      <c r="H8" s="17" t="s">
        <v>13</v>
      </c>
      <c r="I8" s="17"/>
      <c r="J8" s="13" t="s">
        <v>115</v>
      </c>
      <c r="K8" s="13" t="s">
        <v>116</v>
      </c>
      <c r="L8" s="13" t="s">
        <v>117</v>
      </c>
    </row>
    <row r="9" spans="1:14" ht="30" x14ac:dyDescent="0.25">
      <c r="A9" s="13" t="s">
        <v>111</v>
      </c>
      <c r="B9" s="13" t="s">
        <v>118</v>
      </c>
      <c r="C9" s="13" t="s">
        <v>119</v>
      </c>
      <c r="D9" s="13">
        <v>1</v>
      </c>
      <c r="E9" s="13" t="s">
        <v>114</v>
      </c>
      <c r="F9" s="13" t="s">
        <v>13</v>
      </c>
      <c r="G9" s="13" t="s">
        <v>13</v>
      </c>
      <c r="H9" s="17" t="s">
        <v>13</v>
      </c>
      <c r="I9" s="17"/>
      <c r="J9" s="13" t="s">
        <v>115</v>
      </c>
      <c r="K9" s="13" t="s">
        <v>116</v>
      </c>
      <c r="L9" s="13" t="s">
        <v>120</v>
      </c>
    </row>
    <row r="10" spans="1:14" x14ac:dyDescent="0.25">
      <c r="A10" s="13" t="s">
        <v>121</v>
      </c>
      <c r="B10" s="13" t="s">
        <v>122</v>
      </c>
      <c r="C10" s="13" t="s">
        <v>123</v>
      </c>
      <c r="D10" s="13">
        <v>1</v>
      </c>
      <c r="E10" s="13" t="s">
        <v>114</v>
      </c>
      <c r="F10" s="13" t="s">
        <v>13</v>
      </c>
      <c r="G10" s="13" t="s">
        <v>13</v>
      </c>
      <c r="H10" s="17" t="s">
        <v>13</v>
      </c>
      <c r="I10" s="17"/>
      <c r="J10" s="13" t="s">
        <v>115</v>
      </c>
      <c r="K10" s="13" t="s">
        <v>116</v>
      </c>
      <c r="L10" s="13" t="s">
        <v>124</v>
      </c>
    </row>
    <row r="11" spans="1:14" x14ac:dyDescent="0.25">
      <c r="A11" s="13" t="s">
        <v>121</v>
      </c>
      <c r="B11" s="13" t="s">
        <v>125</v>
      </c>
      <c r="C11" s="13" t="s">
        <v>126</v>
      </c>
      <c r="D11" s="13">
        <v>1</v>
      </c>
      <c r="E11" s="13" t="s">
        <v>114</v>
      </c>
      <c r="F11" s="13" t="s">
        <v>13</v>
      </c>
      <c r="G11" s="13" t="s">
        <v>13</v>
      </c>
      <c r="H11" s="17" t="s">
        <v>13</v>
      </c>
      <c r="I11" s="17"/>
      <c r="J11" s="13" t="s">
        <v>115</v>
      </c>
      <c r="K11" s="13" t="s">
        <v>116</v>
      </c>
      <c r="L11" s="13" t="s">
        <v>124</v>
      </c>
    </row>
    <row r="12" spans="1:14" ht="30" x14ac:dyDescent="0.25">
      <c r="A12" s="13" t="s">
        <v>121</v>
      </c>
      <c r="B12" s="13" t="s">
        <v>127</v>
      </c>
      <c r="C12" s="13" t="s">
        <v>128</v>
      </c>
      <c r="D12" s="13">
        <v>2</v>
      </c>
      <c r="E12" s="13" t="s">
        <v>114</v>
      </c>
      <c r="F12" s="13" t="s">
        <v>13</v>
      </c>
      <c r="G12" s="13" t="s">
        <v>13</v>
      </c>
      <c r="H12" s="17" t="s">
        <v>13</v>
      </c>
      <c r="I12" s="17"/>
      <c r="J12" s="13" t="s">
        <v>115</v>
      </c>
      <c r="K12" s="13" t="s">
        <v>116</v>
      </c>
      <c r="L12" s="13" t="s">
        <v>129</v>
      </c>
    </row>
    <row r="13" spans="1:14" ht="30" x14ac:dyDescent="0.25">
      <c r="A13" s="13" t="s">
        <v>121</v>
      </c>
      <c r="B13" s="13" t="s">
        <v>130</v>
      </c>
      <c r="C13" s="13" t="s">
        <v>131</v>
      </c>
      <c r="D13" s="13">
        <v>2</v>
      </c>
      <c r="E13" s="13" t="s">
        <v>114</v>
      </c>
      <c r="F13" s="13" t="s">
        <v>13</v>
      </c>
      <c r="G13" s="13" t="s">
        <v>13</v>
      </c>
      <c r="H13" s="17" t="s">
        <v>13</v>
      </c>
      <c r="I13" s="17"/>
      <c r="J13" s="13" t="s">
        <v>132</v>
      </c>
      <c r="K13" s="13" t="s">
        <v>116</v>
      </c>
      <c r="L13" s="13" t="s">
        <v>133</v>
      </c>
    </row>
    <row r="14" spans="1:14" x14ac:dyDescent="0.25">
      <c r="A14" s="13" t="s">
        <v>134</v>
      </c>
      <c r="B14" s="13" t="s">
        <v>135</v>
      </c>
      <c r="C14" s="13" t="s">
        <v>136</v>
      </c>
      <c r="D14" s="13">
        <v>1</v>
      </c>
      <c r="E14" s="13" t="s">
        <v>114</v>
      </c>
      <c r="F14" s="13" t="s">
        <v>13</v>
      </c>
      <c r="G14" s="13" t="s">
        <v>13</v>
      </c>
      <c r="H14" s="17" t="s">
        <v>13</v>
      </c>
      <c r="I14" s="17" t="str">
        <f t="shared" ref="I8:I34" si="0">IFERROR(H14*D14,"")</f>
        <v/>
      </c>
      <c r="J14" s="13" t="s">
        <v>115</v>
      </c>
      <c r="K14" s="13" t="s">
        <v>116</v>
      </c>
      <c r="L14" s="13" t="s">
        <v>124</v>
      </c>
    </row>
    <row r="15" spans="1:14" x14ac:dyDescent="0.25">
      <c r="A15" s="13" t="s">
        <v>134</v>
      </c>
      <c r="B15" s="13" t="s">
        <v>137</v>
      </c>
      <c r="C15" s="13" t="s">
        <v>138</v>
      </c>
      <c r="D15" s="13">
        <v>1</v>
      </c>
      <c r="E15" s="13" t="s">
        <v>114</v>
      </c>
      <c r="F15" s="13" t="s">
        <v>13</v>
      </c>
      <c r="G15" s="13" t="s">
        <v>13</v>
      </c>
      <c r="H15" s="17" t="s">
        <v>13</v>
      </c>
      <c r="I15" s="17" t="str">
        <f t="shared" si="0"/>
        <v/>
      </c>
      <c r="J15" s="13" t="s">
        <v>115</v>
      </c>
      <c r="K15" s="13" t="s">
        <v>116</v>
      </c>
      <c r="L15" s="13" t="s">
        <v>124</v>
      </c>
    </row>
    <row r="16" spans="1:14" ht="30" x14ac:dyDescent="0.25">
      <c r="A16" s="13" t="s">
        <v>134</v>
      </c>
      <c r="B16" s="13" t="s">
        <v>139</v>
      </c>
      <c r="C16" s="13" t="s">
        <v>140</v>
      </c>
      <c r="D16" s="13">
        <v>1</v>
      </c>
      <c r="E16" s="13" t="s">
        <v>114</v>
      </c>
      <c r="F16" s="13" t="s">
        <v>13</v>
      </c>
      <c r="G16" s="13" t="s">
        <v>13</v>
      </c>
      <c r="H16" s="17" t="s">
        <v>13</v>
      </c>
      <c r="I16" s="17" t="str">
        <f t="shared" si="0"/>
        <v/>
      </c>
      <c r="J16" s="13" t="s">
        <v>132</v>
      </c>
      <c r="K16" s="13" t="s">
        <v>116</v>
      </c>
      <c r="L16" s="13" t="s">
        <v>141</v>
      </c>
    </row>
    <row r="17" spans="1:12" x14ac:dyDescent="0.25">
      <c r="A17" s="13" t="s">
        <v>134</v>
      </c>
      <c r="B17" s="13" t="s">
        <v>142</v>
      </c>
      <c r="C17" s="13" t="s">
        <v>143</v>
      </c>
      <c r="D17" s="13">
        <v>4</v>
      </c>
      <c r="E17" s="13" t="s">
        <v>114</v>
      </c>
      <c r="F17" s="13" t="s">
        <v>13</v>
      </c>
      <c r="G17" s="13" t="s">
        <v>13</v>
      </c>
      <c r="H17" s="17" t="s">
        <v>13</v>
      </c>
      <c r="I17" s="17" t="str">
        <f t="shared" si="0"/>
        <v/>
      </c>
      <c r="J17" s="13" t="s">
        <v>115</v>
      </c>
      <c r="K17" s="13" t="s">
        <v>116</v>
      </c>
      <c r="L17" s="13" t="s">
        <v>144</v>
      </c>
    </row>
    <row r="18" spans="1:12" x14ac:dyDescent="0.25">
      <c r="A18" s="13" t="s">
        <v>134</v>
      </c>
      <c r="B18" s="13" t="s">
        <v>145</v>
      </c>
      <c r="C18" s="13" t="s">
        <v>146</v>
      </c>
      <c r="D18" s="13">
        <v>2</v>
      </c>
      <c r="E18" s="13" t="s">
        <v>114</v>
      </c>
      <c r="F18" s="13" t="s">
        <v>13</v>
      </c>
      <c r="G18" s="13" t="s">
        <v>13</v>
      </c>
      <c r="H18" s="17" t="s">
        <v>13</v>
      </c>
      <c r="I18" s="17" t="str">
        <f t="shared" si="0"/>
        <v/>
      </c>
      <c r="J18" s="13" t="s">
        <v>132</v>
      </c>
      <c r="K18" s="13" t="s">
        <v>116</v>
      </c>
      <c r="L18" s="13" t="s">
        <v>147</v>
      </c>
    </row>
    <row r="19" spans="1:12" x14ac:dyDescent="0.25">
      <c r="A19" s="13" t="s">
        <v>148</v>
      </c>
      <c r="B19" s="13" t="s">
        <v>149</v>
      </c>
      <c r="C19" s="13" t="s">
        <v>150</v>
      </c>
      <c r="D19" s="13">
        <v>1</v>
      </c>
      <c r="E19" s="13" t="s">
        <v>151</v>
      </c>
      <c r="F19" s="13" t="s">
        <v>13</v>
      </c>
      <c r="G19" s="13" t="s">
        <v>13</v>
      </c>
      <c r="H19" s="17" t="s">
        <v>13</v>
      </c>
      <c r="I19" s="17" t="str">
        <f t="shared" si="0"/>
        <v/>
      </c>
      <c r="J19" s="13" t="s">
        <v>115</v>
      </c>
      <c r="K19" s="13" t="s">
        <v>152</v>
      </c>
      <c r="L19" s="13" t="s">
        <v>153</v>
      </c>
    </row>
    <row r="20" spans="1:12" x14ac:dyDescent="0.25">
      <c r="A20" s="13" t="s">
        <v>154</v>
      </c>
      <c r="B20" s="13" t="s">
        <v>155</v>
      </c>
      <c r="C20" s="13" t="s">
        <v>156</v>
      </c>
      <c r="D20" s="13">
        <v>1</v>
      </c>
      <c r="E20" s="13" t="s">
        <v>151</v>
      </c>
      <c r="F20" s="13" t="s">
        <v>13</v>
      </c>
      <c r="G20" s="13" t="s">
        <v>13</v>
      </c>
      <c r="H20" s="17" t="s">
        <v>13</v>
      </c>
      <c r="I20" s="17" t="str">
        <f t="shared" si="0"/>
        <v/>
      </c>
      <c r="J20" s="13" t="s">
        <v>132</v>
      </c>
      <c r="K20" s="13" t="s">
        <v>152</v>
      </c>
      <c r="L20" s="13" t="s">
        <v>157</v>
      </c>
    </row>
    <row r="21" spans="1:12" x14ac:dyDescent="0.25">
      <c r="A21" s="13" t="s">
        <v>154</v>
      </c>
      <c r="B21" s="13" t="s">
        <v>158</v>
      </c>
      <c r="C21" s="13" t="s">
        <v>159</v>
      </c>
      <c r="D21" s="13">
        <v>1</v>
      </c>
      <c r="E21" s="13" t="s">
        <v>151</v>
      </c>
      <c r="F21" s="13" t="s">
        <v>13</v>
      </c>
      <c r="G21" s="13" t="s">
        <v>13</v>
      </c>
      <c r="H21" s="17" t="s">
        <v>13</v>
      </c>
      <c r="I21" s="17" t="str">
        <f t="shared" si="0"/>
        <v/>
      </c>
      <c r="J21" s="13" t="s">
        <v>132</v>
      </c>
      <c r="K21" s="13" t="s">
        <v>152</v>
      </c>
      <c r="L21" s="13" t="s">
        <v>13</v>
      </c>
    </row>
    <row r="22" spans="1:12" ht="30" x14ac:dyDescent="0.25">
      <c r="A22" s="13" t="s">
        <v>154</v>
      </c>
      <c r="B22" s="13" t="s">
        <v>160</v>
      </c>
      <c r="C22" s="13" t="s">
        <v>161</v>
      </c>
      <c r="D22" s="13">
        <v>1</v>
      </c>
      <c r="E22" s="13" t="s">
        <v>151</v>
      </c>
      <c r="F22" s="13" t="s">
        <v>13</v>
      </c>
      <c r="G22" s="13" t="s">
        <v>13</v>
      </c>
      <c r="H22" s="17" t="s">
        <v>13</v>
      </c>
      <c r="I22" s="17" t="str">
        <f t="shared" si="0"/>
        <v/>
      </c>
      <c r="J22" s="13" t="s">
        <v>132</v>
      </c>
      <c r="K22" s="13" t="s">
        <v>152</v>
      </c>
      <c r="L22" s="13" t="s">
        <v>162</v>
      </c>
    </row>
    <row r="23" spans="1:12" ht="30" x14ac:dyDescent="0.25">
      <c r="A23" s="13" t="s">
        <v>154</v>
      </c>
      <c r="B23" s="13" t="s">
        <v>163</v>
      </c>
      <c r="C23" s="13" t="s">
        <v>164</v>
      </c>
      <c r="D23" s="13">
        <v>1</v>
      </c>
      <c r="E23" s="13" t="s">
        <v>151</v>
      </c>
      <c r="F23" s="13" t="s">
        <v>13</v>
      </c>
      <c r="G23" s="13" t="s">
        <v>13</v>
      </c>
      <c r="H23" s="17" t="s">
        <v>13</v>
      </c>
      <c r="I23" s="17" t="str">
        <f t="shared" si="0"/>
        <v/>
      </c>
      <c r="J23" s="13" t="s">
        <v>132</v>
      </c>
      <c r="K23" s="13" t="s">
        <v>152</v>
      </c>
      <c r="L23" s="13" t="s">
        <v>13</v>
      </c>
    </row>
    <row r="24" spans="1:12" ht="30" x14ac:dyDescent="0.25">
      <c r="A24" s="13" t="s">
        <v>165</v>
      </c>
      <c r="B24" s="13" t="s">
        <v>166</v>
      </c>
      <c r="C24" s="13" t="s">
        <v>167</v>
      </c>
      <c r="D24" s="13">
        <v>1</v>
      </c>
      <c r="E24" s="13" t="s">
        <v>151</v>
      </c>
      <c r="F24" s="13" t="s">
        <v>13</v>
      </c>
      <c r="G24" s="13" t="s">
        <v>13</v>
      </c>
      <c r="H24" s="17" t="s">
        <v>13</v>
      </c>
      <c r="I24" s="17" t="str">
        <f t="shared" si="0"/>
        <v/>
      </c>
      <c r="J24" s="13" t="s">
        <v>115</v>
      </c>
      <c r="K24" s="13" t="s">
        <v>152</v>
      </c>
      <c r="L24" s="13" t="s">
        <v>168</v>
      </c>
    </row>
    <row r="25" spans="1:12" x14ac:dyDescent="0.25">
      <c r="A25" s="13" t="s">
        <v>165</v>
      </c>
      <c r="B25" s="13" t="s">
        <v>169</v>
      </c>
      <c r="C25" s="13" t="s">
        <v>170</v>
      </c>
      <c r="D25" s="13">
        <v>1</v>
      </c>
      <c r="E25" s="13" t="s">
        <v>151</v>
      </c>
      <c r="F25" s="13" t="s">
        <v>13</v>
      </c>
      <c r="G25" s="13" t="s">
        <v>13</v>
      </c>
      <c r="H25" s="17" t="s">
        <v>13</v>
      </c>
      <c r="I25" s="17" t="str">
        <f t="shared" si="0"/>
        <v/>
      </c>
      <c r="J25" s="13" t="s">
        <v>115</v>
      </c>
      <c r="K25" s="13" t="s">
        <v>152</v>
      </c>
      <c r="L25" s="13" t="s">
        <v>168</v>
      </c>
    </row>
    <row r="26" spans="1:12" ht="30" x14ac:dyDescent="0.25">
      <c r="A26" s="13" t="s">
        <v>121</v>
      </c>
      <c r="B26" s="13" t="s">
        <v>171</v>
      </c>
      <c r="C26" s="13" t="s">
        <v>172</v>
      </c>
      <c r="D26" s="13">
        <v>1</v>
      </c>
      <c r="E26" s="13" t="s">
        <v>114</v>
      </c>
      <c r="F26" s="13" t="s">
        <v>13</v>
      </c>
      <c r="G26" s="13" t="s">
        <v>13</v>
      </c>
      <c r="H26" s="17" t="s">
        <v>13</v>
      </c>
      <c r="I26" s="17" t="str">
        <f t="shared" si="0"/>
        <v/>
      </c>
      <c r="J26" s="13" t="s">
        <v>115</v>
      </c>
      <c r="K26" s="13" t="s">
        <v>116</v>
      </c>
      <c r="L26" s="13" t="s">
        <v>173</v>
      </c>
    </row>
    <row r="27" spans="1:12" x14ac:dyDescent="0.25">
      <c r="A27" s="13" t="s">
        <v>174</v>
      </c>
      <c r="B27" s="13" t="s">
        <v>175</v>
      </c>
      <c r="C27" s="13" t="s">
        <v>176</v>
      </c>
      <c r="D27" s="13">
        <v>1</v>
      </c>
      <c r="E27" s="13" t="s">
        <v>151</v>
      </c>
      <c r="F27" s="13" t="s">
        <v>13</v>
      </c>
      <c r="G27" s="13" t="s">
        <v>13</v>
      </c>
      <c r="H27" s="17" t="s">
        <v>13</v>
      </c>
      <c r="I27" s="17" t="str">
        <f t="shared" si="0"/>
        <v/>
      </c>
      <c r="J27" s="13" t="s">
        <v>115</v>
      </c>
      <c r="K27" s="13" t="s">
        <v>152</v>
      </c>
      <c r="L27" s="13" t="s">
        <v>177</v>
      </c>
    </row>
    <row r="28" spans="1:12" ht="30" x14ac:dyDescent="0.25">
      <c r="A28" s="13" t="s">
        <v>174</v>
      </c>
      <c r="B28" s="13" t="s">
        <v>178</v>
      </c>
      <c r="C28" s="13" t="s">
        <v>179</v>
      </c>
      <c r="D28" s="13">
        <v>1</v>
      </c>
      <c r="E28" s="13" t="s">
        <v>151</v>
      </c>
      <c r="F28" s="13" t="s">
        <v>13</v>
      </c>
      <c r="G28" s="13" t="s">
        <v>13</v>
      </c>
      <c r="H28" s="17" t="s">
        <v>13</v>
      </c>
      <c r="I28" s="17" t="str">
        <f t="shared" si="0"/>
        <v/>
      </c>
      <c r="J28" s="13" t="s">
        <v>180</v>
      </c>
      <c r="K28" s="13" t="s">
        <v>181</v>
      </c>
      <c r="L28" s="13" t="s">
        <v>182</v>
      </c>
    </row>
    <row r="29" spans="1:12" ht="30" x14ac:dyDescent="0.25">
      <c r="A29" s="13" t="s">
        <v>183</v>
      </c>
      <c r="B29" s="13" t="s">
        <v>184</v>
      </c>
      <c r="C29" s="13" t="s">
        <v>185</v>
      </c>
      <c r="D29" s="13">
        <v>1</v>
      </c>
      <c r="E29" s="13" t="s">
        <v>114</v>
      </c>
      <c r="F29" s="13" t="s">
        <v>13</v>
      </c>
      <c r="G29" s="13" t="s">
        <v>13</v>
      </c>
      <c r="H29" s="17" t="s">
        <v>13</v>
      </c>
      <c r="I29" s="17" t="str">
        <f t="shared" si="0"/>
        <v/>
      </c>
      <c r="J29" s="13" t="s">
        <v>115</v>
      </c>
      <c r="K29" s="13" t="s">
        <v>116</v>
      </c>
      <c r="L29" s="13" t="s">
        <v>186</v>
      </c>
    </row>
    <row r="30" spans="1:12" x14ac:dyDescent="0.25">
      <c r="A30" s="13" t="s">
        <v>183</v>
      </c>
      <c r="B30" s="13" t="s">
        <v>187</v>
      </c>
      <c r="C30" s="13" t="s">
        <v>188</v>
      </c>
      <c r="D30" s="13">
        <v>1</v>
      </c>
      <c r="E30" s="13" t="s">
        <v>151</v>
      </c>
      <c r="F30" s="13" t="s">
        <v>13</v>
      </c>
      <c r="G30" s="13" t="s">
        <v>13</v>
      </c>
      <c r="H30" s="17" t="s">
        <v>13</v>
      </c>
      <c r="I30" s="17" t="str">
        <f t="shared" si="0"/>
        <v/>
      </c>
      <c r="J30" s="13" t="s">
        <v>132</v>
      </c>
      <c r="K30" s="13" t="s">
        <v>152</v>
      </c>
      <c r="L30" s="13" t="s">
        <v>13</v>
      </c>
    </row>
    <row r="31" spans="1:12" x14ac:dyDescent="0.25">
      <c r="A31" s="13" t="s">
        <v>183</v>
      </c>
      <c r="B31" s="13" t="s">
        <v>189</v>
      </c>
      <c r="C31" s="13" t="s">
        <v>190</v>
      </c>
      <c r="D31" s="13">
        <v>1</v>
      </c>
      <c r="E31" s="13" t="s">
        <v>151</v>
      </c>
      <c r="F31" s="13" t="s">
        <v>13</v>
      </c>
      <c r="G31" s="13" t="s">
        <v>13</v>
      </c>
      <c r="H31" s="17" t="s">
        <v>13</v>
      </c>
      <c r="I31" s="17" t="str">
        <f t="shared" si="0"/>
        <v/>
      </c>
      <c r="J31" s="13" t="s">
        <v>180</v>
      </c>
      <c r="K31" s="13" t="s">
        <v>181</v>
      </c>
      <c r="L31" s="13" t="s">
        <v>191</v>
      </c>
    </row>
    <row r="32" spans="1:12" x14ac:dyDescent="0.25">
      <c r="A32" s="13" t="s">
        <v>183</v>
      </c>
      <c r="B32" s="13" t="s">
        <v>192</v>
      </c>
      <c r="C32" s="13" t="s">
        <v>193</v>
      </c>
      <c r="D32" s="13">
        <v>1</v>
      </c>
      <c r="E32" s="13" t="s">
        <v>151</v>
      </c>
      <c r="F32" s="13" t="s">
        <v>13</v>
      </c>
      <c r="G32" s="13" t="s">
        <v>13</v>
      </c>
      <c r="H32" s="17" t="s">
        <v>13</v>
      </c>
      <c r="I32" s="17" t="str">
        <f t="shared" si="0"/>
        <v/>
      </c>
      <c r="J32" s="13" t="s">
        <v>180</v>
      </c>
      <c r="K32" s="13" t="s">
        <v>181</v>
      </c>
      <c r="L32" s="13" t="s">
        <v>194</v>
      </c>
    </row>
    <row r="33" spans="1:12" ht="30" x14ac:dyDescent="0.25">
      <c r="A33" s="13" t="s">
        <v>183</v>
      </c>
      <c r="B33" s="13" t="s">
        <v>195</v>
      </c>
      <c r="C33" s="13" t="s">
        <v>196</v>
      </c>
      <c r="D33" s="13">
        <v>1</v>
      </c>
      <c r="E33" s="13" t="s">
        <v>151</v>
      </c>
      <c r="F33" s="13" t="s">
        <v>13</v>
      </c>
      <c r="G33" s="13" t="s">
        <v>13</v>
      </c>
      <c r="H33" s="17" t="s">
        <v>13</v>
      </c>
      <c r="I33" s="17" t="str">
        <f t="shared" si="0"/>
        <v/>
      </c>
      <c r="J33" s="13" t="s">
        <v>180</v>
      </c>
      <c r="K33" s="13" t="s">
        <v>181</v>
      </c>
      <c r="L33" s="13" t="s">
        <v>197</v>
      </c>
    </row>
    <row r="34" spans="1:12" ht="30" x14ac:dyDescent="0.25">
      <c r="A34" s="13" t="s">
        <v>198</v>
      </c>
      <c r="B34" s="13" t="s">
        <v>199</v>
      </c>
      <c r="C34" s="13" t="s">
        <v>200</v>
      </c>
      <c r="D34" s="13">
        <v>1</v>
      </c>
      <c r="E34" s="13" t="s">
        <v>151</v>
      </c>
      <c r="F34" s="13" t="s">
        <v>13</v>
      </c>
      <c r="G34" s="13" t="s">
        <v>13</v>
      </c>
      <c r="H34" s="17" t="s">
        <v>13</v>
      </c>
      <c r="I34" s="17" t="str">
        <f t="shared" si="0"/>
        <v/>
      </c>
      <c r="J34" s="13" t="s">
        <v>180</v>
      </c>
      <c r="K34" s="13" t="s">
        <v>181</v>
      </c>
      <c r="L34" s="13" t="s">
        <v>201</v>
      </c>
    </row>
    <row r="36" spans="1:12" x14ac:dyDescent="0.25">
      <c r="A36" s="47" t="s">
        <v>202</v>
      </c>
      <c r="B36" s="43"/>
      <c r="C36" s="43"/>
      <c r="D36" s="43"/>
      <c r="E36" s="43"/>
      <c r="F36" s="43"/>
      <c r="G36" s="44"/>
      <c r="H36" s="18" t="s">
        <v>203</v>
      </c>
      <c r="I36" s="19">
        <f>SUM(I8:I34)</f>
        <v>0</v>
      </c>
    </row>
  </sheetData>
  <mergeCells count="5">
    <mergeCell ref="A36:G36"/>
    <mergeCell ref="A3:N3"/>
    <mergeCell ref="A2:N2"/>
    <mergeCell ref="A5:N5"/>
    <mergeCell ref="A1:N1"/>
  </mergeCells>
  <conditionalFormatting sqref="K8:K34">
    <cfRule type="expression" dxfId="3" priority="1">
      <formula>K8="Received"</formula>
    </cfRule>
    <cfRule type="expression" dxfId="2" priority="2">
      <formula>K8="Ordered"</formula>
    </cfRule>
    <cfRule type="expression" dxfId="1" priority="3">
      <formula>K8="To Buy"</formula>
    </cfRule>
    <cfRule type="expression" dxfId="0" priority="4">
      <formula>K8="To Get"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6"/>
  <sheetViews>
    <sheetView topLeftCell="A11" workbookViewId="0">
      <selection sqref="A1:L1"/>
    </sheetView>
  </sheetViews>
  <sheetFormatPr defaultRowHeight="15" x14ac:dyDescent="0.25"/>
  <cols>
    <col min="1" max="1" width="4" customWidth="1"/>
    <col min="2" max="2" width="30.5703125" bestFit="1" customWidth="1"/>
    <col min="3" max="3" width="58" customWidth="1"/>
    <col min="4" max="4" width="28" customWidth="1"/>
    <col min="5" max="12" width="16" customWidth="1"/>
  </cols>
  <sheetData>
    <row r="1" spans="1:12" ht="23.25" x14ac:dyDescent="0.35">
      <c r="A1" s="45" t="s">
        <v>204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25">
      <c r="A2" s="40" t="s">
        <v>205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25">
      <c r="A3" s="38" t="s">
        <v>206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5" spans="1:12" x14ac:dyDescent="0.25">
      <c r="A5" s="46" t="s">
        <v>207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7" spans="1:12" ht="21.95" customHeight="1" x14ac:dyDescent="0.25">
      <c r="A7" s="51" t="s">
        <v>208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</row>
    <row r="9" spans="1:12" x14ac:dyDescent="0.25">
      <c r="B9" s="51" t="s">
        <v>209</v>
      </c>
      <c r="C9" s="51" t="s">
        <v>210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27.95" customHeight="1" x14ac:dyDescent="0.25">
      <c r="B10" s="36" t="s">
        <v>211</v>
      </c>
      <c r="C10" s="48" t="s">
        <v>212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27.95" customHeight="1" x14ac:dyDescent="0.25">
      <c r="B11" s="36" t="s">
        <v>213</v>
      </c>
      <c r="C11" s="48" t="s">
        <v>214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27.95" customHeight="1" x14ac:dyDescent="0.25">
      <c r="B12" s="36" t="s">
        <v>215</v>
      </c>
      <c r="C12" s="48" t="s">
        <v>216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27.95" customHeight="1" x14ac:dyDescent="0.25">
      <c r="B13" s="36" t="s">
        <v>217</v>
      </c>
      <c r="C13" s="48" t="s">
        <v>218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27.95" customHeight="1" x14ac:dyDescent="0.25">
      <c r="B14" s="36" t="s">
        <v>219</v>
      </c>
      <c r="C14" s="48" t="s">
        <v>220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27.95" customHeight="1" x14ac:dyDescent="0.25">
      <c r="B15" s="36" t="s">
        <v>221</v>
      </c>
      <c r="C15" s="48" t="s">
        <v>222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27.95" customHeight="1" x14ac:dyDescent="0.25">
      <c r="B16" s="36" t="s">
        <v>223</v>
      </c>
      <c r="C16" s="48" t="s">
        <v>224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27.95" customHeight="1" x14ac:dyDescent="0.25">
      <c r="B17" s="36" t="s">
        <v>225</v>
      </c>
      <c r="C17" s="48" t="s">
        <v>226</v>
      </c>
      <c r="D17" s="49"/>
      <c r="E17" s="49"/>
      <c r="F17" s="49"/>
      <c r="G17" s="49"/>
      <c r="H17" s="49"/>
      <c r="I17" s="49"/>
      <c r="J17" s="49"/>
      <c r="K17" s="49"/>
      <c r="L17" s="49"/>
    </row>
    <row r="20" spans="1:12" ht="21.95" customHeight="1" x14ac:dyDescent="0.25">
      <c r="A20" s="51" t="s">
        <v>227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2" spans="1:12" ht="20.100000000000001" customHeight="1" x14ac:dyDescent="0.25">
      <c r="B22" s="50" t="s">
        <v>228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21.95" customHeight="1" x14ac:dyDescent="0.25">
      <c r="B23" s="37" t="s">
        <v>229</v>
      </c>
      <c r="C23" s="48" t="s">
        <v>230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21.95" customHeight="1" x14ac:dyDescent="0.25">
      <c r="B24" s="37" t="s">
        <v>229</v>
      </c>
      <c r="C24" s="48" t="s">
        <v>231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21.95" customHeight="1" x14ac:dyDescent="0.25">
      <c r="B25" s="37" t="s">
        <v>229</v>
      </c>
      <c r="C25" s="48" t="s">
        <v>232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21.95" customHeight="1" x14ac:dyDescent="0.25">
      <c r="B26" s="37" t="s">
        <v>229</v>
      </c>
      <c r="C26" s="48" t="s">
        <v>233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21.95" customHeight="1" x14ac:dyDescent="0.25">
      <c r="B27" s="37" t="s">
        <v>229</v>
      </c>
      <c r="C27" s="48" t="s">
        <v>234</v>
      </c>
      <c r="D27" s="49"/>
      <c r="E27" s="49"/>
      <c r="F27" s="49"/>
      <c r="G27" s="49"/>
      <c r="H27" s="49"/>
      <c r="I27" s="49"/>
      <c r="J27" s="49"/>
      <c r="K27" s="49"/>
      <c r="L27" s="49"/>
    </row>
    <row r="29" spans="1:12" ht="20.100000000000001" customHeight="1" x14ac:dyDescent="0.25">
      <c r="B29" s="50" t="s">
        <v>235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21.95" customHeight="1" x14ac:dyDescent="0.25">
      <c r="B30" s="37" t="s">
        <v>229</v>
      </c>
      <c r="C30" s="48" t="s">
        <v>236</v>
      </c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21.95" customHeight="1" x14ac:dyDescent="0.25">
      <c r="B31" s="37" t="s">
        <v>229</v>
      </c>
      <c r="C31" s="48" t="s">
        <v>237</v>
      </c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21.95" customHeight="1" x14ac:dyDescent="0.25">
      <c r="B32" s="37" t="s">
        <v>229</v>
      </c>
      <c r="C32" s="48" t="s">
        <v>238</v>
      </c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21.95" customHeight="1" x14ac:dyDescent="0.25">
      <c r="B33" s="37" t="s">
        <v>229</v>
      </c>
      <c r="C33" s="48" t="s">
        <v>239</v>
      </c>
      <c r="D33" s="49"/>
      <c r="E33" s="49"/>
      <c r="F33" s="49"/>
      <c r="G33" s="49"/>
      <c r="H33" s="49"/>
      <c r="I33" s="49"/>
      <c r="J33" s="49"/>
      <c r="K33" s="49"/>
      <c r="L33" s="49"/>
    </row>
    <row r="35" spans="1:12" ht="20.100000000000001" customHeight="1" x14ac:dyDescent="0.25">
      <c r="B35" s="50" t="s">
        <v>240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21.95" customHeight="1" x14ac:dyDescent="0.25">
      <c r="B36" s="37" t="s">
        <v>229</v>
      </c>
      <c r="C36" s="48" t="s">
        <v>241</v>
      </c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21.95" customHeight="1" x14ac:dyDescent="0.25">
      <c r="B37" s="37" t="s">
        <v>229</v>
      </c>
      <c r="C37" s="48" t="s">
        <v>242</v>
      </c>
      <c r="D37" s="49"/>
      <c r="E37" s="49"/>
      <c r="F37" s="49"/>
      <c r="G37" s="49"/>
      <c r="H37" s="49"/>
      <c r="I37" s="49"/>
      <c r="J37" s="49"/>
      <c r="K37" s="49"/>
      <c r="L37" s="49"/>
    </row>
    <row r="39" spans="1:12" ht="20.100000000000001" customHeight="1" x14ac:dyDescent="0.25">
      <c r="B39" s="50" t="s">
        <v>243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21.95" customHeight="1" x14ac:dyDescent="0.25">
      <c r="B40" s="37" t="s">
        <v>229</v>
      </c>
      <c r="C40" s="48" t="s">
        <v>244</v>
      </c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21.95" customHeight="1" x14ac:dyDescent="0.25">
      <c r="B41" s="37" t="s">
        <v>229</v>
      </c>
      <c r="C41" s="48" t="s">
        <v>245</v>
      </c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21.95" customHeight="1" x14ac:dyDescent="0.25">
      <c r="B42" s="37" t="s">
        <v>229</v>
      </c>
      <c r="C42" s="48" t="s">
        <v>246</v>
      </c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21.95" customHeight="1" x14ac:dyDescent="0.25">
      <c r="B43" s="37" t="s">
        <v>229</v>
      </c>
      <c r="C43" s="48" t="s">
        <v>247</v>
      </c>
      <c r="D43" s="49"/>
      <c r="E43" s="49"/>
      <c r="F43" s="49"/>
      <c r="G43" s="49"/>
      <c r="H43" s="49"/>
      <c r="I43" s="49"/>
      <c r="J43" s="49"/>
      <c r="K43" s="49"/>
      <c r="L43" s="49"/>
    </row>
    <row r="45" spans="1:12" ht="21.95" customHeight="1" x14ac:dyDescent="0.25">
      <c r="A45" s="51" t="s">
        <v>248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</row>
    <row r="46" spans="1:12" ht="33.950000000000003" customHeight="1" x14ac:dyDescent="0.25">
      <c r="A46" s="52" t="s">
        <v>249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</row>
  </sheetData>
  <mergeCells count="37">
    <mergeCell ref="A1:L1"/>
    <mergeCell ref="A45:L45"/>
    <mergeCell ref="C43:L43"/>
    <mergeCell ref="C12:L12"/>
    <mergeCell ref="C36:L36"/>
    <mergeCell ref="C11:L11"/>
    <mergeCell ref="A2:L2"/>
    <mergeCell ref="C37:L37"/>
    <mergeCell ref="B39:L39"/>
    <mergeCell ref="A5:L5"/>
    <mergeCell ref="C30:L30"/>
    <mergeCell ref="C15:L15"/>
    <mergeCell ref="C24:L24"/>
    <mergeCell ref="C33:L33"/>
    <mergeCell ref="C14:L14"/>
    <mergeCell ref="A20:L20"/>
    <mergeCell ref="B29:L29"/>
    <mergeCell ref="C26:L26"/>
    <mergeCell ref="C10:L10"/>
    <mergeCell ref="C16:L16"/>
    <mergeCell ref="C25:L25"/>
    <mergeCell ref="C31:L31"/>
    <mergeCell ref="A46:L46"/>
    <mergeCell ref="B22:L22"/>
    <mergeCell ref="C32:L32"/>
    <mergeCell ref="A3:L3"/>
    <mergeCell ref="C13:L13"/>
    <mergeCell ref="C42:L42"/>
    <mergeCell ref="C41:L41"/>
    <mergeCell ref="C40:L40"/>
    <mergeCell ref="C9:L9"/>
    <mergeCell ref="C27:L27"/>
    <mergeCell ref="B35:L35"/>
    <mergeCell ref="A7:L7"/>
    <mergeCell ref="B9"/>
    <mergeCell ref="C23:L23"/>
    <mergeCell ref="C17:L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"/>
  <sheetViews>
    <sheetView workbookViewId="0">
      <selection activeCell="C1" sqref="C1"/>
    </sheetView>
  </sheetViews>
  <sheetFormatPr defaultRowHeight="15" x14ac:dyDescent="0.25"/>
  <cols>
    <col min="1" max="1" width="19.140625" bestFit="1" customWidth="1"/>
    <col min="2" max="2" width="11.140625" bestFit="1" customWidth="1"/>
    <col min="3" max="3" width="25.5703125" bestFit="1" customWidth="1"/>
    <col min="4" max="4" width="20.140625" bestFit="1" customWidth="1"/>
    <col min="5" max="5" width="15.7109375" bestFit="1" customWidth="1"/>
    <col min="6" max="6" width="18" bestFit="1" customWidth="1"/>
    <col min="7" max="7" width="19.28515625" bestFit="1" customWidth="1"/>
    <col min="8" max="8" width="24.42578125" bestFit="1" customWidth="1"/>
    <col min="9" max="9" width="7.28515625" bestFit="1" customWidth="1"/>
    <col min="11" max="11" width="48.42578125" bestFit="1" customWidth="1"/>
    <col min="12" max="12" width="17.5703125" bestFit="1" customWidth="1"/>
    <col min="14" max="14" width="27.5703125" bestFit="1" customWidth="1"/>
    <col min="15" max="15" width="30.85546875" bestFit="1" customWidth="1"/>
  </cols>
  <sheetData>
    <row r="1" spans="1:15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 x14ac:dyDescent="0.25">
      <c r="A3" s="21" t="s">
        <v>250</v>
      </c>
      <c r="B3" s="21" t="s">
        <v>251</v>
      </c>
      <c r="C3" s="22" t="s">
        <v>252</v>
      </c>
      <c r="D3" s="23" t="s">
        <v>253</v>
      </c>
      <c r="E3" s="24" t="s">
        <v>254</v>
      </c>
      <c r="F3" s="24" t="s">
        <v>255</v>
      </c>
      <c r="G3" s="21" t="s">
        <v>256</v>
      </c>
      <c r="H3" s="21" t="s">
        <v>257</v>
      </c>
      <c r="I3" s="25" t="s">
        <v>258</v>
      </c>
      <c r="J3" s="26"/>
      <c r="K3" s="21" t="s">
        <v>259</v>
      </c>
      <c r="L3" s="21"/>
      <c r="M3" s="26"/>
      <c r="N3" s="21" t="s">
        <v>260</v>
      </c>
      <c r="O3" s="21" t="s">
        <v>261</v>
      </c>
    </row>
    <row r="4" spans="1:15" x14ac:dyDescent="0.25">
      <c r="A4" s="27">
        <v>1</v>
      </c>
      <c r="B4" s="27" t="s">
        <v>262</v>
      </c>
      <c r="C4" s="28">
        <f t="shared" ref="C4:C19" si="0">IF(RIGHT(TRIM(B4),2)="mV",VALUE(LEFT(TRIM(B4),LEN(TRIM(B4))-2))/1000,IF(RIGHT(TRIM(B4),1)="V",VALUE(LEFT(TRIM(B4),LEN(TRIM(B4))-1)),""))</f>
        <v>4.8000000000000001E-2</v>
      </c>
      <c r="D4" s="29">
        <f t="shared" ref="D4:D19" si="1">ABS(C4-$F$4)</f>
        <v>0.80879999999999985</v>
      </c>
      <c r="E4" s="30">
        <f>INDEX($A$4:$A$19, MATCH(MIN($D$4:$D$19), $D$4:$D$19, 0))</f>
        <v>15</v>
      </c>
      <c r="F4" s="31">
        <f>0.7*MAX($C$4:$C$19)</f>
        <v>0.8567999999999999</v>
      </c>
      <c r="G4" s="28">
        <f>INDEX($C$4:$C$19, MATCH($E$4, $A$4:$A$19, 0))</f>
        <v>0.872</v>
      </c>
      <c r="H4" s="27">
        <f>G4-F4</f>
        <v>1.5200000000000102E-2</v>
      </c>
      <c r="I4" s="32">
        <f>(G4-F4)/F4</f>
        <v>1.7740429505135508E-2</v>
      </c>
      <c r="J4" s="20"/>
      <c r="K4" s="27" t="s">
        <v>263</v>
      </c>
      <c r="L4" s="27" t="s">
        <v>264</v>
      </c>
      <c r="M4" s="20"/>
      <c r="N4" s="27">
        <v>1</v>
      </c>
      <c r="O4" s="28">
        <f>$F$4</f>
        <v>0.8567999999999999</v>
      </c>
    </row>
    <row r="5" spans="1:15" x14ac:dyDescent="0.25">
      <c r="A5" s="27">
        <v>2</v>
      </c>
      <c r="B5" s="27" t="s">
        <v>262</v>
      </c>
      <c r="C5" s="28">
        <f t="shared" si="0"/>
        <v>4.8000000000000001E-2</v>
      </c>
      <c r="D5" s="29">
        <f t="shared" si="1"/>
        <v>0.80879999999999985</v>
      </c>
      <c r="E5" s="20"/>
      <c r="F5" s="20"/>
      <c r="G5" s="20"/>
      <c r="H5" s="20"/>
      <c r="I5" s="20"/>
      <c r="J5" s="20"/>
      <c r="K5" s="27" t="s">
        <v>265</v>
      </c>
      <c r="L5" s="27">
        <v>440</v>
      </c>
      <c r="M5" s="20"/>
      <c r="N5" s="27">
        <v>16</v>
      </c>
      <c r="O5" s="28">
        <f>$F$4</f>
        <v>0.8567999999999999</v>
      </c>
    </row>
    <row r="6" spans="1:15" x14ac:dyDescent="0.25">
      <c r="A6" s="27">
        <v>3</v>
      </c>
      <c r="B6" s="27" t="s">
        <v>262</v>
      </c>
      <c r="C6" s="28">
        <f t="shared" si="0"/>
        <v>4.8000000000000001E-2</v>
      </c>
      <c r="D6" s="29">
        <f t="shared" si="1"/>
        <v>0.80879999999999985</v>
      </c>
      <c r="E6" s="20"/>
      <c r="F6" s="20"/>
      <c r="G6" s="20"/>
      <c r="H6" s="20"/>
      <c r="I6" s="20"/>
      <c r="J6" s="20"/>
      <c r="K6" s="27" t="s">
        <v>266</v>
      </c>
      <c r="L6" s="27" t="s">
        <v>267</v>
      </c>
      <c r="M6" s="20"/>
      <c r="N6" s="33"/>
      <c r="O6" s="33"/>
    </row>
    <row r="7" spans="1:15" x14ac:dyDescent="0.25">
      <c r="A7" s="27">
        <v>4</v>
      </c>
      <c r="B7" s="27" t="s">
        <v>262</v>
      </c>
      <c r="C7" s="28">
        <f t="shared" si="0"/>
        <v>4.8000000000000001E-2</v>
      </c>
      <c r="D7" s="29">
        <f t="shared" si="1"/>
        <v>0.80879999999999985</v>
      </c>
      <c r="E7" s="20"/>
      <c r="F7" s="20"/>
      <c r="G7" s="20"/>
      <c r="H7" s="20"/>
      <c r="I7" s="20"/>
      <c r="J7" s="20"/>
      <c r="K7" s="27" t="s">
        <v>268</v>
      </c>
      <c r="L7" s="27" t="s">
        <v>269</v>
      </c>
      <c r="M7" s="20"/>
      <c r="N7" s="30">
        <f>$E$4</f>
        <v>15</v>
      </c>
      <c r="O7" s="34">
        <f>$G$4</f>
        <v>0.872</v>
      </c>
    </row>
    <row r="8" spans="1:15" x14ac:dyDescent="0.25">
      <c r="A8" s="27">
        <v>5</v>
      </c>
      <c r="B8" s="27" t="s">
        <v>262</v>
      </c>
      <c r="C8" s="28">
        <f t="shared" si="0"/>
        <v>4.8000000000000001E-2</v>
      </c>
      <c r="D8" s="29">
        <f t="shared" si="1"/>
        <v>0.80879999999999985</v>
      </c>
      <c r="E8" s="20"/>
      <c r="F8" s="20"/>
      <c r="G8" s="20"/>
      <c r="H8" s="20"/>
      <c r="I8" s="20"/>
      <c r="J8" s="20"/>
      <c r="K8" s="27" t="s">
        <v>270</v>
      </c>
      <c r="L8" s="28">
        <f>MAX($C$4:$C$19)</f>
        <v>1.224</v>
      </c>
      <c r="M8" s="20"/>
      <c r="N8" s="20"/>
      <c r="O8" s="20"/>
    </row>
    <row r="9" spans="1:15" x14ac:dyDescent="0.25">
      <c r="A9" s="27">
        <v>6</v>
      </c>
      <c r="B9" s="27" t="s">
        <v>262</v>
      </c>
      <c r="C9" s="28">
        <f t="shared" si="0"/>
        <v>4.8000000000000001E-2</v>
      </c>
      <c r="D9" s="29">
        <f t="shared" si="1"/>
        <v>0.80879999999999985</v>
      </c>
      <c r="E9" s="20"/>
      <c r="F9" s="20"/>
      <c r="G9" s="20"/>
      <c r="H9" s="20"/>
      <c r="I9" s="20"/>
      <c r="J9" s="20"/>
      <c r="K9" s="27" t="s">
        <v>271</v>
      </c>
      <c r="L9" s="28">
        <f>$F$4</f>
        <v>0.8567999999999999</v>
      </c>
      <c r="M9" s="20"/>
      <c r="N9" s="20"/>
      <c r="O9" s="20"/>
    </row>
    <row r="10" spans="1:15" x14ac:dyDescent="0.25">
      <c r="A10" s="27">
        <v>7</v>
      </c>
      <c r="B10" s="27" t="s">
        <v>272</v>
      </c>
      <c r="C10" s="28">
        <f t="shared" si="0"/>
        <v>5.6000000000000001E-2</v>
      </c>
      <c r="D10" s="29">
        <f t="shared" si="1"/>
        <v>0.80079999999999985</v>
      </c>
      <c r="E10" s="20"/>
      <c r="F10" s="20"/>
      <c r="G10" s="20"/>
      <c r="H10" s="20"/>
      <c r="I10" s="20"/>
      <c r="J10" s="20"/>
      <c r="K10" s="27" t="s">
        <v>273</v>
      </c>
      <c r="L10" s="30" t="str">
        <f>"Step "&amp;$E$4</f>
        <v>Step 15</v>
      </c>
      <c r="M10" s="20"/>
      <c r="N10" s="20"/>
      <c r="O10" s="20"/>
    </row>
    <row r="11" spans="1:15" x14ac:dyDescent="0.25">
      <c r="A11" s="27">
        <v>8</v>
      </c>
      <c r="B11" s="27" t="s">
        <v>274</v>
      </c>
      <c r="C11" s="28">
        <f t="shared" si="0"/>
        <v>7.1999999999999995E-2</v>
      </c>
      <c r="D11" s="29">
        <f t="shared" si="1"/>
        <v>0.78479999999999994</v>
      </c>
      <c r="E11" s="20"/>
      <c r="F11" s="20"/>
      <c r="G11" s="20"/>
      <c r="H11" s="20"/>
      <c r="I11" s="20"/>
      <c r="J11" s="20"/>
      <c r="K11" s="27" t="s">
        <v>256</v>
      </c>
      <c r="L11" s="28">
        <f>$G$4</f>
        <v>0.872</v>
      </c>
      <c r="M11" s="20"/>
      <c r="N11" s="20"/>
      <c r="O11" s="20"/>
    </row>
    <row r="12" spans="1:15" x14ac:dyDescent="0.25">
      <c r="A12" s="27">
        <v>9</v>
      </c>
      <c r="B12" s="27" t="s">
        <v>275</v>
      </c>
      <c r="C12" s="28">
        <f t="shared" si="0"/>
        <v>0.104</v>
      </c>
      <c r="D12" s="29">
        <f t="shared" si="1"/>
        <v>0.75279999999999991</v>
      </c>
      <c r="E12" s="20"/>
      <c r="F12" s="20"/>
      <c r="G12" s="20"/>
      <c r="H12" s="20"/>
      <c r="I12" s="20"/>
      <c r="J12" s="20"/>
      <c r="K12" s="27" t="s">
        <v>257</v>
      </c>
      <c r="L12" s="28">
        <f>$H$4</f>
        <v>1.5200000000000102E-2</v>
      </c>
      <c r="M12" s="20"/>
      <c r="N12" s="20"/>
      <c r="O12" s="20"/>
    </row>
    <row r="13" spans="1:15" x14ac:dyDescent="0.25">
      <c r="A13" s="27">
        <v>10</v>
      </c>
      <c r="B13" s="27" t="s">
        <v>276</v>
      </c>
      <c r="C13" s="28">
        <f t="shared" si="0"/>
        <v>0.152</v>
      </c>
      <c r="D13" s="29">
        <f t="shared" si="1"/>
        <v>0.70479999999999987</v>
      </c>
      <c r="E13" s="20"/>
      <c r="F13" s="20"/>
      <c r="G13" s="20"/>
      <c r="H13" s="20"/>
      <c r="I13" s="20"/>
      <c r="J13" s="20"/>
      <c r="K13" s="27" t="s">
        <v>277</v>
      </c>
      <c r="L13" s="32">
        <f>$I$4</f>
        <v>1.7740429505135508E-2</v>
      </c>
      <c r="M13" s="20"/>
      <c r="N13" s="20"/>
      <c r="O13" s="20"/>
    </row>
    <row r="14" spans="1:15" x14ac:dyDescent="0.25">
      <c r="A14" s="27">
        <v>11</v>
      </c>
      <c r="B14" s="27" t="s">
        <v>278</v>
      </c>
      <c r="C14" s="28">
        <f t="shared" si="0"/>
        <v>0.20799999999999999</v>
      </c>
      <c r="D14" s="29">
        <f t="shared" si="1"/>
        <v>0.64879999999999993</v>
      </c>
      <c r="E14" s="20"/>
      <c r="F14" s="20"/>
      <c r="G14" s="20"/>
      <c r="H14" s="20"/>
      <c r="I14" s="20"/>
      <c r="J14" s="20"/>
      <c r="K14" s="27" t="s">
        <v>279</v>
      </c>
      <c r="L14" s="28">
        <f>$G$4/(2*SQRT(2))</f>
        <v>0.30829855659733468</v>
      </c>
      <c r="M14" s="20"/>
      <c r="N14" s="20"/>
      <c r="O14" s="20"/>
    </row>
    <row r="15" spans="1:15" x14ac:dyDescent="0.25">
      <c r="A15" s="27">
        <v>12</v>
      </c>
      <c r="B15" s="27" t="s">
        <v>280</v>
      </c>
      <c r="C15" s="28">
        <f t="shared" si="0"/>
        <v>0.32</v>
      </c>
      <c r="D15" s="29">
        <f t="shared" si="1"/>
        <v>0.53679999999999994</v>
      </c>
      <c r="E15" s="20"/>
      <c r="F15" s="20"/>
      <c r="G15" s="20"/>
      <c r="H15" s="20"/>
      <c r="I15" s="20"/>
      <c r="J15" s="20"/>
      <c r="K15" s="27" t="s">
        <v>281</v>
      </c>
      <c r="L15" s="28">
        <f>$G$4</f>
        <v>0.872</v>
      </c>
      <c r="M15" s="20"/>
      <c r="N15" s="20"/>
      <c r="O15" s="20"/>
    </row>
    <row r="16" spans="1:15" x14ac:dyDescent="0.25">
      <c r="A16" s="27">
        <v>13</v>
      </c>
      <c r="B16" s="27" t="s">
        <v>282</v>
      </c>
      <c r="C16" s="28">
        <f t="shared" si="0"/>
        <v>0.44800000000000001</v>
      </c>
      <c r="D16" s="29">
        <f t="shared" si="1"/>
        <v>0.40879999999999989</v>
      </c>
      <c r="E16" s="20"/>
      <c r="F16" s="20"/>
      <c r="G16" s="20"/>
      <c r="H16" s="20"/>
      <c r="I16" s="20"/>
      <c r="J16" s="20"/>
      <c r="K16" s="27" t="s">
        <v>283</v>
      </c>
      <c r="L16" s="28">
        <f>$L$14</f>
        <v>0.30829855659733468</v>
      </c>
      <c r="M16" s="20"/>
      <c r="N16" s="20"/>
      <c r="O16" s="20"/>
    </row>
    <row r="17" spans="1:15" x14ac:dyDescent="0.25">
      <c r="A17" s="27">
        <v>14</v>
      </c>
      <c r="B17" s="27" t="s">
        <v>284</v>
      </c>
      <c r="C17" s="28">
        <f t="shared" si="0"/>
        <v>0.624</v>
      </c>
      <c r="D17" s="29">
        <f t="shared" si="1"/>
        <v>0.2327999999999999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1:15" x14ac:dyDescent="0.25">
      <c r="A18" s="27">
        <v>15</v>
      </c>
      <c r="B18" s="27" t="s">
        <v>285</v>
      </c>
      <c r="C18" s="28">
        <f t="shared" si="0"/>
        <v>0.872</v>
      </c>
      <c r="D18" s="29">
        <f t="shared" si="1"/>
        <v>1.5200000000000102E-2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spans="1:15" x14ac:dyDescent="0.25">
      <c r="A19" s="27">
        <v>16</v>
      </c>
      <c r="B19" s="27" t="s">
        <v>286</v>
      </c>
      <c r="C19" s="28">
        <f t="shared" si="0"/>
        <v>1.224</v>
      </c>
      <c r="D19" s="29">
        <f t="shared" si="1"/>
        <v>0.36720000000000008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spans="1:15" x14ac:dyDescent="0.25">
      <c r="A20" s="33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spans="1:15" x14ac:dyDescent="0.25">
      <c r="A21" s="33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5"/>
  <sheetViews>
    <sheetView workbookViewId="0"/>
  </sheetViews>
  <sheetFormatPr defaultRowHeight="15" x14ac:dyDescent="0.25"/>
  <cols>
    <col min="1" max="1" width="33.42578125" bestFit="1" customWidth="1"/>
    <col min="2" max="2" width="12" customWidth="1"/>
    <col min="3" max="3" width="6.140625" bestFit="1" customWidth="1"/>
    <col min="4" max="4" width="41.5703125" bestFit="1" customWidth="1"/>
  </cols>
  <sheetData>
    <row r="1" spans="1:4" x14ac:dyDescent="0.25">
      <c r="A1" s="21" t="s">
        <v>287</v>
      </c>
      <c r="B1" s="21" t="s">
        <v>288</v>
      </c>
      <c r="C1" s="21" t="s">
        <v>289</v>
      </c>
      <c r="D1" s="21" t="s">
        <v>290</v>
      </c>
    </row>
    <row r="2" spans="1:4" x14ac:dyDescent="0.25">
      <c r="A2" s="53" t="s">
        <v>291</v>
      </c>
      <c r="B2" s="54"/>
      <c r="C2" s="54"/>
      <c r="D2" s="55"/>
    </row>
    <row r="3" spans="1:4" x14ac:dyDescent="0.25">
      <c r="A3" s="27" t="s">
        <v>292</v>
      </c>
      <c r="B3" s="27">
        <f>'MB Phone Characterisation'!L8</f>
        <v>1.224</v>
      </c>
      <c r="C3" s="27" t="s">
        <v>293</v>
      </c>
      <c r="D3" s="27"/>
    </row>
    <row r="4" spans="1:4" x14ac:dyDescent="0.25">
      <c r="A4" s="27" t="s">
        <v>294</v>
      </c>
      <c r="B4" s="27">
        <f>0.7*B3</f>
        <v>0.8567999999999999</v>
      </c>
      <c r="C4" s="27" t="s">
        <v>293</v>
      </c>
      <c r="D4" s="27"/>
    </row>
    <row r="5" spans="1:4" x14ac:dyDescent="0.25">
      <c r="A5" s="27" t="s">
        <v>295</v>
      </c>
      <c r="B5" s="27">
        <f>'MB Phone Characterisation'!L15</f>
        <v>0.872</v>
      </c>
      <c r="C5" s="27" t="s">
        <v>293</v>
      </c>
      <c r="D5" s="27"/>
    </row>
    <row r="6" spans="1:4" x14ac:dyDescent="0.25">
      <c r="A6" s="27" t="s">
        <v>296</v>
      </c>
      <c r="B6" s="27">
        <f>'MB Phone Characterisation'!L16</f>
        <v>0.30829855659733468</v>
      </c>
      <c r="C6" s="27" t="s">
        <v>293</v>
      </c>
      <c r="D6" s="27"/>
    </row>
    <row r="7" spans="1:4" x14ac:dyDescent="0.25">
      <c r="A7" s="53" t="s">
        <v>297</v>
      </c>
      <c r="B7" s="54"/>
      <c r="C7" s="54"/>
      <c r="D7" s="55"/>
    </row>
    <row r="8" spans="1:4" x14ac:dyDescent="0.25">
      <c r="A8" s="27" t="s">
        <v>298</v>
      </c>
      <c r="B8" s="27">
        <v>3</v>
      </c>
      <c r="C8" s="27" t="s">
        <v>293</v>
      </c>
      <c r="D8" s="27"/>
    </row>
    <row r="9" spans="1:4" x14ac:dyDescent="0.25">
      <c r="A9" s="27" t="s">
        <v>299</v>
      </c>
      <c r="B9" s="27">
        <f>B8/B5</f>
        <v>3.4403669724770642</v>
      </c>
      <c r="C9" s="27" t="s">
        <v>300</v>
      </c>
      <c r="D9" s="27"/>
    </row>
    <row r="10" spans="1:4" x14ac:dyDescent="0.25">
      <c r="A10" s="27" t="s">
        <v>301</v>
      </c>
      <c r="B10" s="27">
        <f>20*LOG10(B9)</f>
        <v>10.732095395741904</v>
      </c>
      <c r="C10" s="27" t="s">
        <v>302</v>
      </c>
      <c r="D10" s="27"/>
    </row>
    <row r="11" spans="1:4" x14ac:dyDescent="0.25">
      <c r="A11" s="27"/>
      <c r="B11" s="27"/>
      <c r="C11" s="27"/>
      <c r="D11" s="27"/>
    </row>
    <row r="12" spans="1:4" x14ac:dyDescent="0.25">
      <c r="A12" s="27" t="s">
        <v>303</v>
      </c>
      <c r="B12" s="27">
        <v>82000</v>
      </c>
      <c r="C12" s="27" t="s">
        <v>304</v>
      </c>
      <c r="D12" s="27" t="s">
        <v>305</v>
      </c>
    </row>
    <row r="13" spans="1:4" x14ac:dyDescent="0.25">
      <c r="A13" s="27" t="s">
        <v>306</v>
      </c>
      <c r="B13" s="27">
        <f>B12/B9</f>
        <v>23834.666666666668</v>
      </c>
      <c r="C13" s="27" t="s">
        <v>304</v>
      </c>
      <c r="D13" s="27"/>
    </row>
    <row r="14" spans="1:4" x14ac:dyDescent="0.25">
      <c r="A14" s="27" t="s">
        <v>307</v>
      </c>
      <c r="B14" s="27">
        <v>24000</v>
      </c>
      <c r="C14" s="27" t="s">
        <v>304</v>
      </c>
      <c r="D14" s="27" t="s">
        <v>308</v>
      </c>
    </row>
    <row r="15" spans="1:4" x14ac:dyDescent="0.25">
      <c r="A15" s="27" t="s">
        <v>309</v>
      </c>
      <c r="B15" s="27">
        <f>B12/B14</f>
        <v>3.4166666666666665</v>
      </c>
      <c r="C15" s="27" t="s">
        <v>300</v>
      </c>
      <c r="D15" s="27"/>
    </row>
    <row r="16" spans="1:4" x14ac:dyDescent="0.25">
      <c r="A16" s="27" t="s">
        <v>310</v>
      </c>
      <c r="B16" s="27">
        <f>20*LOG10(B15)</f>
        <v>10.672052213442214</v>
      </c>
      <c r="C16" s="27" t="s">
        <v>302</v>
      </c>
      <c r="D16" s="27"/>
    </row>
    <row r="17" spans="1:4" x14ac:dyDescent="0.25">
      <c r="A17" s="53" t="s">
        <v>311</v>
      </c>
      <c r="B17" s="54"/>
      <c r="C17" s="54"/>
      <c r="D17" s="55"/>
    </row>
    <row r="18" spans="1:4" x14ac:dyDescent="0.25">
      <c r="A18" s="27" t="s">
        <v>312</v>
      </c>
      <c r="B18" s="27">
        <v>5</v>
      </c>
      <c r="C18" s="27" t="s">
        <v>313</v>
      </c>
      <c r="D18" s="27"/>
    </row>
    <row r="19" spans="1:4" x14ac:dyDescent="0.25">
      <c r="A19" s="27" t="s">
        <v>314</v>
      </c>
      <c r="B19" s="27">
        <f>1/(2*PI()*B14*B18)</f>
        <v>1.3262911924324611E-6</v>
      </c>
      <c r="C19" s="27" t="s">
        <v>315</v>
      </c>
      <c r="D19" s="27"/>
    </row>
    <row r="20" spans="1:4" x14ac:dyDescent="0.25">
      <c r="A20" s="27" t="s">
        <v>316</v>
      </c>
      <c r="B20" s="35">
        <v>9.9999999999999995E-7</v>
      </c>
      <c r="C20" s="27" t="s">
        <v>315</v>
      </c>
      <c r="D20" s="27" t="s">
        <v>317</v>
      </c>
    </row>
    <row r="21" spans="1:4" x14ac:dyDescent="0.25">
      <c r="A21" s="27" t="s">
        <v>318</v>
      </c>
      <c r="B21" s="27">
        <f>1/(2*PI()*B14*B20)</f>
        <v>6.6314559621623062</v>
      </c>
      <c r="C21" s="27" t="s">
        <v>313</v>
      </c>
      <c r="D21" s="27"/>
    </row>
    <row r="22" spans="1:4" x14ac:dyDescent="0.25">
      <c r="A22" s="53" t="s">
        <v>319</v>
      </c>
      <c r="B22" s="54"/>
      <c r="C22" s="54"/>
      <c r="D22" s="55"/>
    </row>
    <row r="23" spans="1:4" x14ac:dyDescent="0.25">
      <c r="A23" s="27" t="s">
        <v>320</v>
      </c>
      <c r="B23" s="27">
        <v>29000</v>
      </c>
      <c r="C23" s="27" t="s">
        <v>313</v>
      </c>
      <c r="D23" s="27"/>
    </row>
    <row r="24" spans="1:4" x14ac:dyDescent="0.25">
      <c r="A24" s="27" t="s">
        <v>321</v>
      </c>
      <c r="B24" s="27">
        <f>1/(2*PI()*$B$12*B23)</f>
        <v>6.6928066901553963E-11</v>
      </c>
      <c r="C24" s="27" t="s">
        <v>315</v>
      </c>
      <c r="D24" s="27"/>
    </row>
    <row r="25" spans="1:4" x14ac:dyDescent="0.25">
      <c r="A25" s="27" t="s">
        <v>322</v>
      </c>
      <c r="B25" s="35">
        <v>6.7999999999999998E-11</v>
      </c>
      <c r="C25" s="27" t="s">
        <v>315</v>
      </c>
      <c r="D25" s="27" t="s">
        <v>323</v>
      </c>
    </row>
    <row r="26" spans="1:4" x14ac:dyDescent="0.25">
      <c r="A26" s="27" t="s">
        <v>324</v>
      </c>
      <c r="B26" s="27">
        <f>1/(2*PI()*$B$12*$B$25)</f>
        <v>28542.852060956844</v>
      </c>
      <c r="C26" s="27" t="s">
        <v>313</v>
      </c>
      <c r="D26" s="27"/>
    </row>
    <row r="27" spans="1:4" x14ac:dyDescent="0.25">
      <c r="A27" s="53" t="s">
        <v>325</v>
      </c>
      <c r="B27" s="54"/>
      <c r="C27" s="54"/>
      <c r="D27" s="55"/>
    </row>
    <row r="28" spans="1:4" x14ac:dyDescent="0.25">
      <c r="A28" s="27" t="s">
        <v>326</v>
      </c>
      <c r="B28" s="35">
        <v>9.9999999999999995E-8</v>
      </c>
      <c r="C28" s="27" t="s">
        <v>315</v>
      </c>
      <c r="D28" s="27" t="s">
        <v>327</v>
      </c>
    </row>
    <row r="29" spans="1:4" x14ac:dyDescent="0.25">
      <c r="A29" s="27" t="s">
        <v>328</v>
      </c>
      <c r="B29" s="35">
        <v>9.9999999999999995E-8</v>
      </c>
      <c r="C29" s="27" t="s">
        <v>315</v>
      </c>
      <c r="D29" s="27" t="s">
        <v>327</v>
      </c>
    </row>
    <row r="30" spans="1:4" x14ac:dyDescent="0.25">
      <c r="A30" s="27"/>
      <c r="B30" s="27"/>
      <c r="C30" s="27"/>
      <c r="D30" s="27"/>
    </row>
    <row r="31" spans="1:4" x14ac:dyDescent="0.25">
      <c r="A31" s="27" t="s">
        <v>329</v>
      </c>
      <c r="B31" s="35">
        <v>9.9999999999999995E-8</v>
      </c>
      <c r="C31" s="27" t="s">
        <v>315</v>
      </c>
      <c r="D31" s="27" t="s">
        <v>327</v>
      </c>
    </row>
    <row r="32" spans="1:4" x14ac:dyDescent="0.25">
      <c r="A32" s="27" t="s">
        <v>330</v>
      </c>
      <c r="B32" s="35">
        <v>9.9999999999999995E-8</v>
      </c>
      <c r="C32" s="27" t="s">
        <v>315</v>
      </c>
      <c r="D32" s="27" t="s">
        <v>327</v>
      </c>
    </row>
    <row r="33" spans="1:4" x14ac:dyDescent="0.25">
      <c r="A33" s="27"/>
      <c r="B33" s="27"/>
      <c r="C33" s="27"/>
      <c r="D33" s="27"/>
    </row>
    <row r="34" spans="1:4" x14ac:dyDescent="0.25">
      <c r="A34" s="27" t="s">
        <v>331</v>
      </c>
      <c r="B34" s="35">
        <v>1.0000000000000001E-5</v>
      </c>
      <c r="C34" s="27" t="s">
        <v>315</v>
      </c>
      <c r="D34" s="27" t="s">
        <v>332</v>
      </c>
    </row>
    <row r="35" spans="1:4" x14ac:dyDescent="0.25">
      <c r="A35" s="27" t="s">
        <v>333</v>
      </c>
      <c r="B35" s="35">
        <v>1.0000000000000001E-5</v>
      </c>
      <c r="C35" s="27" t="s">
        <v>315</v>
      </c>
      <c r="D35" s="27" t="s">
        <v>332</v>
      </c>
    </row>
  </sheetData>
  <mergeCells count="5">
    <mergeCell ref="A17:D17"/>
    <mergeCell ref="A27:D27"/>
    <mergeCell ref="A22:D22"/>
    <mergeCell ref="A7:D7"/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cols>
    <col min="1" max="1" width="19.140625" customWidth="1"/>
    <col min="2" max="2" width="10.8554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Gantt</vt:lpstr>
      <vt:lpstr>BOM</vt:lpstr>
      <vt:lpstr>Report Breakdown</vt:lpstr>
      <vt:lpstr>MB Phone Characterisation</vt:lpstr>
      <vt:lpstr>Design Calculations</vt:lpstr>
      <vt:lpstr>Play ground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 Cess</dc:creator>
  <cp:lastModifiedBy>Isaac Adjei (Student)</cp:lastModifiedBy>
  <dcterms:created xsi:type="dcterms:W3CDTF">2026-01-22T04:36:18Z</dcterms:created>
  <dcterms:modified xsi:type="dcterms:W3CDTF">2026-01-22T04:36:18Z</dcterms:modified>
</cp:coreProperties>
</file>