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iveastonac-my.sharepoint.com/personal/240191278_aston_ac_uk/Documents/"/>
    </mc:Choice>
  </mc:AlternateContent>
  <xr:revisionPtr revIDLastSave="0" documentId="8_{085D0D1B-A973-4A30-B87A-F7E202F9150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SHBOARD" sheetId="1" r:id="rId1"/>
    <sheet name="GANTT" sheetId="2" r:id="rId2"/>
    <sheet name="BOM" sheetId="3" r:id="rId3"/>
    <sheet name="REPORT BREAKDOWN" sheetId="4" r:id="rId4"/>
    <sheet name="DESIGN &amp; NOTES" sheetId="5" r:id="rId5"/>
    <sheet name="_Lists" sheetId="6" state="hidden" r:id="rId6"/>
  </sheets>
  <definedNames>
    <definedName name="BOMStatusList">_Lists!$E$2:$E$6</definedName>
    <definedName name="GlobalStatusList">_Lists!$A$2:$A$6</definedName>
    <definedName name="GlobalStatusPct">_Lists!$A$2:$B$6</definedName>
    <definedName name="PriorityList">_Lists!$K$2:$K$4</definedName>
    <definedName name="YesNoList">_Lists!$H$2:$H$3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5" l="1"/>
  <c r="B19" i="5"/>
  <c r="B18" i="5"/>
  <c r="B17" i="5"/>
  <c r="F13" i="4"/>
  <c r="F12" i="4"/>
  <c r="F11" i="4"/>
  <c r="F10" i="4"/>
  <c r="F9" i="4"/>
  <c r="F8" i="4"/>
  <c r="F7" i="4"/>
  <c r="B3" i="4" s="1"/>
  <c r="H3" i="4" s="1"/>
  <c r="B9" i="1" s="1"/>
  <c r="G21" i="3"/>
  <c r="L20" i="3"/>
  <c r="G20" i="3"/>
  <c r="L19" i="3"/>
  <c r="G19" i="3"/>
  <c r="G18" i="3"/>
  <c r="G17" i="3"/>
  <c r="G16" i="3"/>
  <c r="G15" i="3"/>
  <c r="G14" i="3"/>
  <c r="G13" i="3"/>
  <c r="G12" i="3"/>
  <c r="G11" i="3"/>
  <c r="G10" i="3"/>
  <c r="G9" i="3"/>
  <c r="L8" i="3"/>
  <c r="G8" i="3"/>
  <c r="L7" i="3"/>
  <c r="G7" i="3"/>
  <c r="L6" i="3"/>
  <c r="L5" i="3"/>
  <c r="B5" i="3"/>
  <c r="L4" i="3"/>
  <c r="B4" i="3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I31" i="2"/>
  <c r="H31" i="2"/>
  <c r="F31" i="2"/>
  <c r="D31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I30" i="2"/>
  <c r="H30" i="2"/>
  <c r="F30" i="2"/>
  <c r="D30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I29" i="2"/>
  <c r="H29" i="2"/>
  <c r="F29" i="2"/>
  <c r="D29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I28" i="2"/>
  <c r="H28" i="2"/>
  <c r="F28" i="2"/>
  <c r="D28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I27" i="2"/>
  <c r="H27" i="2"/>
  <c r="F27" i="2"/>
  <c r="D27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I26" i="2"/>
  <c r="H26" i="2"/>
  <c r="F26" i="2"/>
  <c r="D26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I25" i="2"/>
  <c r="H25" i="2"/>
  <c r="F25" i="2"/>
  <c r="D25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I24" i="2"/>
  <c r="H24" i="2"/>
  <c r="F24" i="2"/>
  <c r="D24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I23" i="2"/>
  <c r="H23" i="2"/>
  <c r="F23" i="2"/>
  <c r="D23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I22" i="2"/>
  <c r="H22" i="2"/>
  <c r="F22" i="2"/>
  <c r="D22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I21" i="2"/>
  <c r="H21" i="2"/>
  <c r="F21" i="2"/>
  <c r="D21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I20" i="2"/>
  <c r="H20" i="2"/>
  <c r="F20" i="2"/>
  <c r="D20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I19" i="2"/>
  <c r="H19" i="2"/>
  <c r="F19" i="2"/>
  <c r="D19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I18" i="2"/>
  <c r="H18" i="2"/>
  <c r="F18" i="2"/>
  <c r="D18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I17" i="2"/>
  <c r="H17" i="2"/>
  <c r="F17" i="2"/>
  <c r="D17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I16" i="2"/>
  <c r="H16" i="2"/>
  <c r="F16" i="2"/>
  <c r="D16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I15" i="2"/>
  <c r="H15" i="2"/>
  <c r="F15" i="2"/>
  <c r="D15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I14" i="2"/>
  <c r="H14" i="2"/>
  <c r="F14" i="2"/>
  <c r="D14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I13" i="2"/>
  <c r="H13" i="2"/>
  <c r="F13" i="2"/>
  <c r="D13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I12" i="2"/>
  <c r="H12" i="2"/>
  <c r="F12" i="2"/>
  <c r="D12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I11" i="2"/>
  <c r="H11" i="2"/>
  <c r="F11" i="2"/>
  <c r="D11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I10" i="2"/>
  <c r="H10" i="2"/>
  <c r="F10" i="2"/>
  <c r="D10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I9" i="2"/>
  <c r="H9" i="2"/>
  <c r="F9" i="2"/>
  <c r="D9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H8" i="2"/>
  <c r="F8" i="2"/>
  <c r="D8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H7" i="2"/>
  <c r="F7" i="2"/>
  <c r="D7" i="2"/>
  <c r="J6" i="2"/>
  <c r="J30" i="2" s="1"/>
  <c r="J5" i="2"/>
  <c r="J4" i="2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D20" i="1"/>
  <c r="D19" i="1"/>
  <c r="I18" i="1"/>
  <c r="D18" i="1"/>
  <c r="I17" i="1"/>
  <c r="D17" i="1"/>
  <c r="I16" i="1"/>
  <c r="D16" i="1"/>
  <c r="M15" i="1"/>
  <c r="I15" i="1"/>
  <c r="D15" i="1"/>
  <c r="M14" i="1"/>
  <c r="I14" i="1"/>
  <c r="D14" i="1"/>
  <c r="B10" i="1"/>
  <c r="F8" i="1"/>
  <c r="B7" i="1"/>
  <c r="J6" i="1"/>
  <c r="I6" i="1"/>
  <c r="H6" i="1"/>
  <c r="J31" i="2" l="1"/>
  <c r="J16" i="2"/>
  <c r="J28" i="2"/>
  <c r="B3" i="2"/>
  <c r="F3" i="2" s="1"/>
  <c r="B8" i="1" s="1"/>
  <c r="B6" i="1" s="1"/>
  <c r="M18" i="1" s="1"/>
  <c r="M19" i="1" s="1"/>
  <c r="J12" i="2"/>
  <c r="J27" i="2"/>
  <c r="J23" i="2"/>
  <c r="J19" i="2"/>
  <c r="J24" i="2"/>
  <c r="J15" i="2"/>
  <c r="J20" i="2"/>
  <c r="J11" i="2"/>
  <c r="J9" i="2"/>
  <c r="J13" i="2"/>
  <c r="J17" i="2"/>
  <c r="J21" i="2"/>
  <c r="J25" i="2"/>
  <c r="J29" i="2"/>
  <c r="J10" i="2"/>
  <c r="J14" i="2"/>
  <c r="J18" i="2"/>
  <c r="J22" i="2"/>
  <c r="J26" i="2"/>
</calcChain>
</file>

<file path=xl/sharedStrings.xml><?xml version="1.0" encoding="utf-8"?>
<sst xmlns="http://schemas.openxmlformats.org/spreadsheetml/2006/main" count="361" uniqueCount="201">
  <si>
    <t>AUDIO AMPLIFIER PROJECT CONTROL WORKBOOK</t>
  </si>
  <si>
    <t>Live project dashboard • Gantt schedule • BOM tracker • Report breakdown • Notes</t>
  </si>
  <si>
    <t>Project window: 19 Jan 2026 – 20 Feb 2026 (weekdays, 5 weeks)</t>
  </si>
  <si>
    <t>Overall project status</t>
  </si>
  <si>
    <t>Not Started</t>
  </si>
  <si>
    <t>Weights (editable)</t>
  </si>
  <si>
    <t>Engineering</t>
  </si>
  <si>
    <t>Normalized</t>
  </si>
  <si>
    <t>Eng</t>
  </si>
  <si>
    <t>Rep</t>
  </si>
  <si>
    <t>BOM</t>
  </si>
  <si>
    <t>Overall % complete</t>
  </si>
  <si>
    <t>Sum</t>
  </si>
  <si>
    <t>Report</t>
  </si>
  <si>
    <t>(auto)</t>
  </si>
  <si>
    <t>Days remaining</t>
  </si>
  <si>
    <t>Engineering (Gantt) %</t>
  </si>
  <si>
    <t>Total</t>
  </si>
  <si>
    <t>Report %</t>
  </si>
  <si>
    <t>BOM received %</t>
  </si>
  <si>
    <t>KEY SIGN-OFFS / DELIVERABLES</t>
  </si>
  <si>
    <t>Tasks by Status</t>
  </si>
  <si>
    <t>BOM Completion</t>
  </si>
  <si>
    <t>Deliverable</t>
  </si>
  <si>
    <t>Status</t>
  </si>
  <si>
    <t>Manual % (optional)</t>
  </si>
  <si>
    <t>% Complete (auto)</t>
  </si>
  <si>
    <t>Notes</t>
  </si>
  <si>
    <t>Planned date</t>
  </si>
  <si>
    <t>Count</t>
  </si>
  <si>
    <t>Category</t>
  </si>
  <si>
    <t>Final schematic check</t>
  </si>
  <si>
    <t>Received</t>
  </si>
  <si>
    <t>Final PCB check</t>
  </si>
  <si>
    <t>In Progress</t>
  </si>
  <si>
    <t>Not received</t>
  </si>
  <si>
    <t>PCB soldering check</t>
  </si>
  <si>
    <t>Done</t>
  </si>
  <si>
    <t>Final test &amp; measurement</t>
  </si>
  <si>
    <t>Blocked</t>
  </si>
  <si>
    <t>Overall</t>
  </si>
  <si>
    <t>Value</t>
  </si>
  <si>
    <t>Final audio check (speaker)</t>
  </si>
  <si>
    <t>Optional</t>
  </si>
  <si>
    <t>Complete</t>
  </si>
  <si>
    <t>Report draft complete</t>
  </si>
  <si>
    <t>Remaining</t>
  </si>
  <si>
    <t>Final report submitted</t>
  </si>
  <si>
    <t>Progress over time (by planned end date)</t>
  </si>
  <si>
    <t>Date</t>
  </si>
  <si>
    <t>Planned %</t>
  </si>
  <si>
    <t>Actual %</t>
  </si>
  <si>
    <t>GANTT • ENGINEERING PLAN (WEEKDAYS ONLY)</t>
  </si>
  <si>
    <t>Update Start/End dates and Status. Bars, progress and dashboard update automatically.</t>
  </si>
  <si>
    <t>Engineering progress</t>
  </si>
  <si>
    <t>(link)</t>
  </si>
  <si>
    <t>Timeline (weekdays)</t>
  </si>
  <si>
    <t>Mon</t>
  </si>
  <si>
    <t>Thu</t>
  </si>
  <si>
    <t>Fri</t>
  </si>
  <si>
    <t>Tue</t>
  </si>
  <si>
    <t>Wed</t>
  </si>
  <si>
    <t>Task</t>
  </si>
  <si>
    <t>Start</t>
  </si>
  <si>
    <t>End</t>
  </si>
  <si>
    <t>Duration (wd)</t>
  </si>
  <si>
    <t>% Complete</t>
  </si>
  <si>
    <t>Notes / Evidence</t>
  </si>
  <si>
    <t>Project setup + folder structure</t>
  </si>
  <si>
    <t>Read brief + report template + rubric</t>
  </si>
  <si>
    <t>Mobile phone characterisation (440 Hz Vpp vs volume)</t>
  </si>
  <si>
    <t>Design calculations (gain + cut-offs + parts rounding)</t>
  </si>
  <si>
    <t>Stage 1 Proteus simulation (AC sweep + transient)</t>
  </si>
  <si>
    <t>Stage 2 power stage simulation (OPA551 load + limits)</t>
  </si>
  <si>
    <t>Full schematic integration + sanity checks</t>
  </si>
  <si>
    <t>Schematic sign-off (final schematic check)</t>
  </si>
  <si>
    <t>BOM finalised + ordering / picking parts</t>
  </si>
  <si>
    <t>Breadboard build (filter stage)</t>
  </si>
  <si>
    <t>Breadboard build (power stage + speaker)</t>
  </si>
  <si>
    <t>Breadboard testing (gain + cut-offs + clipping)</t>
  </si>
  <si>
    <t>PCB layout in Proteus (placement + routing)</t>
  </si>
  <si>
    <t>PCB design review / DRC + final PCB check</t>
  </si>
  <si>
    <t>PCB manufacture / wait time (buffer)</t>
  </si>
  <si>
    <t>Prepare enclosure/baseplate + wiring plan</t>
  </si>
  <si>
    <t>PCB assembly (soldering) + inspection</t>
  </si>
  <si>
    <t>PCB soldering check (sign-off)</t>
  </si>
  <si>
    <t>PCB testing + debug</t>
  </si>
  <si>
    <t>Final test &amp; measurements (plots + screenshots)</t>
  </si>
  <si>
    <t>Final audio check using speaker</t>
  </si>
  <si>
    <t>Final assembly + cable management</t>
  </si>
  <si>
    <t>Report writing (merge results + diagrams)</t>
  </si>
  <si>
    <t>Report proof + IEEE refs + appendices</t>
  </si>
  <si>
    <t>Optional: improve case aesthetics / label controls</t>
  </si>
  <si>
    <t>BILL OF MATERIALS (BOM)</t>
  </si>
  <si>
    <t>Track purchasing + university-provided parts. Status drives completion metrics and charts.</t>
  </si>
  <si>
    <t>Summary</t>
  </si>
  <si>
    <t>BOM Status</t>
  </si>
  <si>
    <t>Total line items</t>
  </si>
  <si>
    <t>To Get</t>
  </si>
  <si>
    <t>Received items</t>
  </si>
  <si>
    <t>To Buy</t>
  </si>
  <si>
    <t>Component / Item</t>
  </si>
  <si>
    <t>Qty</t>
  </si>
  <si>
    <t>Provided by Uni?</t>
  </si>
  <si>
    <t>Priority</t>
  </si>
  <si>
    <t>Unit cost</t>
  </si>
  <si>
    <t>Total cost</t>
  </si>
  <si>
    <t>Supplier / Link</t>
  </si>
  <si>
    <t>Ordered</t>
  </si>
  <si>
    <t>TL071 op-amp (DIP-8)</t>
  </si>
  <si>
    <t>Yes</t>
  </si>
  <si>
    <t>High</t>
  </si>
  <si>
    <t>OPA551 op-amp (DIP-8)</t>
  </si>
  <si>
    <t>8 Ω speaker (enclosure preferred)</t>
  </si>
  <si>
    <t>No</t>
  </si>
  <si>
    <t>3.5 mm stereo jack socket</t>
  </si>
  <si>
    <t>DC jack (12 V input)</t>
  </si>
  <si>
    <t>Medium</t>
  </si>
  <si>
    <t>PP3 9 V battery clip (optional)</t>
  </si>
  <si>
    <t>Low</t>
  </si>
  <si>
    <t>On/off switch</t>
  </si>
  <si>
    <t>Power LED (5 mm) + resistor</t>
  </si>
  <si>
    <t>Potentiometer (volume control)</t>
  </si>
  <si>
    <t>Assorted resistors (E24) pack</t>
  </si>
  <si>
    <t>Assorted capacitors (ceramic/film/electrolytic)</t>
  </si>
  <si>
    <t>Perfboard/breadboard + jumper wires</t>
  </si>
  <si>
    <t>Cost</t>
  </si>
  <si>
    <t>£</t>
  </si>
  <si>
    <t>Base plate / mounting hardware</t>
  </si>
  <si>
    <t>Enclosure / case materials</t>
  </si>
  <si>
    <t>Outstanding</t>
  </si>
  <si>
    <t>PCB fabrication (if charged)</t>
  </si>
  <si>
    <t>REPORT BREAKDOWN • WRITING PROGRESS</t>
  </si>
  <si>
    <t>Tick off report sections as you write. Status and % complete drive the dashboard.</t>
  </si>
  <si>
    <t>Overall report completion</t>
  </si>
  <si>
    <t>Section</t>
  </si>
  <si>
    <t>Brief requirement</t>
  </si>
  <si>
    <t>Where covered (page/fig/table)</t>
  </si>
  <si>
    <t>Weight (marks)</t>
  </si>
  <si>
    <t>Completion by section</t>
  </si>
  <si>
    <t>Introduction</t>
  </si>
  <si>
    <t>Title, abstract (~50–80 words), introduction (2–3 paragraphs).</t>
  </si>
  <si>
    <t>Sec 1</t>
  </si>
  <si>
    <t>Technical Background</t>
  </si>
  <si>
    <t>Theory: bandpass filter, TL071 features, OPA551 features, key equations, references.</t>
  </si>
  <si>
    <t>Sec 2</t>
  </si>
  <si>
    <t>Design Description</t>
  </si>
  <si>
    <t>Specs table, block diagram, detailed circuit design + calculations, component choices.</t>
  </si>
  <si>
    <t>Sec 3</t>
  </si>
  <si>
    <t>PCB Design</t>
  </si>
  <si>
    <t>PCB layout screenshots, rules/placement/routing, 3D view, connectors &amp; dimensions.</t>
  </si>
  <si>
    <t>Sec 4</t>
  </si>
  <si>
    <t>Results</t>
  </si>
  <si>
    <t>Measured + simulated plots on same graph, test method, evaluation, assembly evidence.</t>
  </si>
  <si>
    <t>Sec 5</t>
  </si>
  <si>
    <t>References</t>
  </si>
  <si>
    <t>Consistent IEEE references, cited in text, range of sources.</t>
  </si>
  <si>
    <t>Sec 6</t>
  </si>
  <si>
    <t>Appendices</t>
  </si>
  <si>
    <t>BOM + full schematic, additional screenshots/data.</t>
  </si>
  <si>
    <t>Appx</t>
  </si>
  <si>
    <t>DESIGN / NOTES</t>
  </si>
  <si>
    <t>Capture design assumptions, key decisions, and build/testing checkpoints.</t>
  </si>
  <si>
    <t>Key checkpoints</t>
  </si>
  <si>
    <t>Design assumptions / decisions (keep it short and dated)</t>
  </si>
  <si>
    <t>Simulation complete?</t>
  </si>
  <si>
    <t>AC sweep + transient verified</t>
  </si>
  <si>
    <t xml:space="preserve">• Target Vout, Vpp:
• Measured Vin at 70% volume:
• Chosen gain + resistor rounding:
• Chosen cut-offs (fl, fu) + capacitor rounding:
• Power supply choice (9V battery vs 12V DC):
• Any constraints / issues:
</t>
  </si>
  <si>
    <t>Schematic complete?</t>
  </si>
  <si>
    <t>All values + decoupling + connectors</t>
  </si>
  <si>
    <t>PCB complete?</t>
  </si>
  <si>
    <t>DRC clean + placement/routing done</t>
  </si>
  <si>
    <t>Build complete?</t>
  </si>
  <si>
    <t>Breadboard + PCB assembled</t>
  </si>
  <si>
    <t>Evidence checklist (helps the report)</t>
  </si>
  <si>
    <t>Photos: breadboard build</t>
  </si>
  <si>
    <t>Photos: PCB before solder</t>
  </si>
  <si>
    <t>Photos: PCB after solder</t>
  </si>
  <si>
    <t>Screenshots: Proteus frequency response</t>
  </si>
  <si>
    <t>Screenshots: Proteus transient (440 Hz)</t>
  </si>
  <si>
    <t>Screenshots: oscilloscope results</t>
  </si>
  <si>
    <t>Excel plots exported for report</t>
  </si>
  <si>
    <t>Quick links</t>
  </si>
  <si>
    <t>Go to DASHBOARD</t>
  </si>
  <si>
    <t>Go to GANTT</t>
  </si>
  <si>
    <t>Go to BOM</t>
  </si>
  <si>
    <t>Go to REPORT BREAKDOWN</t>
  </si>
  <si>
    <t>Global Status</t>
  </si>
  <si>
    <t>Default %</t>
  </si>
  <si>
    <t>Color (ARGB)</t>
  </si>
  <si>
    <t>Default Weights</t>
  </si>
  <si>
    <t>Weight</t>
  </si>
  <si>
    <t>FFE9ECEF</t>
  </si>
  <si>
    <t>FFE6FCF5</t>
  </si>
  <si>
    <t>FFFADBD8</t>
  </si>
  <si>
    <t>FFF1C40F</t>
  </si>
  <si>
    <t>FFFFE5D0</t>
  </si>
  <si>
    <t>FFFFF3CD</t>
  </si>
  <si>
    <t>FF27AE60</t>
  </si>
  <si>
    <t>FFE74C3C</t>
  </si>
  <si>
    <t>FFD7BDE2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</si>
</sst>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;;;"/>
    <numFmt numFmtId="167" formatCode="\£0.00"/>
    <numFmt numFmtId="168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sz val="11"/>
      <color rgb="FFFFFFFF"/>
      <name val="Calibri"/>
    </font>
    <font>
      <b/>
      <sz val="11"/>
      <color rgb="FF5B2C6F"/>
      <name val="Calibri"/>
    </font>
    <font>
      <b/>
      <sz val="11"/>
      <color rgb="FF212529"/>
      <name val="Calibri"/>
    </font>
    <font>
      <i/>
      <sz val="11"/>
      <color rgb="FF495057"/>
      <name val="Calibri"/>
    </font>
    <font>
      <b/>
      <sz val="14"/>
      <color rgb="FF5B2C6F"/>
      <name val="Calibri"/>
    </font>
    <font>
      <b/>
      <sz val="14"/>
      <color rgb="FFFFFFFF"/>
      <name val="Calibri"/>
    </font>
    <font>
      <sz val="11"/>
      <color rgb="FF495057"/>
      <name val="Calibri"/>
    </font>
    <font>
      <b/>
      <sz val="10"/>
      <color rgb="FFFFFFFF"/>
      <name val="Calibri"/>
    </font>
    <font>
      <b/>
      <sz val="9"/>
      <color rgb="FF5B2C6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B2C6F"/>
      </patternFill>
    </fill>
    <fill>
      <patternFill patternType="solid">
        <fgColor rgb="FFF3F0FF"/>
      </patternFill>
    </fill>
    <fill>
      <patternFill patternType="solid">
        <fgColor rgb="FFE9ECEF"/>
      </patternFill>
    </fill>
    <fill>
      <patternFill patternType="solid">
        <fgColor rgb="FF6F42C1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>
      <left/>
      <right/>
      <top style="thin">
        <color rgb="FFADB5BD"/>
      </top>
      <bottom style="thin">
        <color rgb="FFADB5BD"/>
      </bottom>
      <diagonal/>
    </border>
    <border>
      <left/>
      <right style="thin">
        <color rgb="FFADB5BD"/>
      </right>
      <top style="thin">
        <color rgb="FFADB5BD"/>
      </top>
      <bottom style="thin">
        <color rgb="FFADB5BD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9" fontId="0" fillId="0" borderId="1" xfId="0" applyNumberFormat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5" fontId="0" fillId="0" borderId="1" xfId="0" applyNumberFormat="1" applyBorder="1" applyAlignment="1">
      <alignment horizontal="left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16" fontId="10" fillId="2" borderId="1" xfId="0" applyNumberFormat="1" applyFont="1" applyFill="1" applyBorder="1" applyAlignment="1">
      <alignment horizontal="center" vertical="center" wrapText="1"/>
    </xf>
    <xf numFmtId="16" fontId="10" fillId="2" borderId="1" xfId="0" applyNumberFormat="1" applyFont="1" applyFill="1" applyBorder="1" applyAlignment="1">
      <alignment horizontal="left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left" vertical="center" wrapText="1"/>
    </xf>
    <xf numFmtId="0" fontId="5" fillId="4" borderId="1" xfId="0" applyFont="1" applyFill="1" applyBorder="1"/>
    <xf numFmtId="9" fontId="9" fillId="0" borderId="1" xfId="0" applyNumberFormat="1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center" vertical="center" wrapText="1"/>
    </xf>
    <xf numFmtId="9" fontId="9" fillId="0" borderId="0" xfId="0" applyNumberFormat="1" applyFont="1"/>
    <xf numFmtId="0" fontId="5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0" fillId="0" borderId="0" xfId="0"/>
    <xf numFmtId="0" fontId="4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41">
    <dxf>
      <fill>
        <patternFill patternType="solid">
          <fgColor rgb="FFD7BDE2"/>
        </patternFill>
      </fill>
    </dxf>
    <dxf>
      <fill>
        <patternFill patternType="solid">
          <fgColor rgb="FFE74C3C"/>
        </patternFill>
      </fill>
    </dxf>
    <dxf>
      <fill>
        <patternFill patternType="solid">
          <fgColor rgb="FF27AE60"/>
        </patternFill>
      </fill>
    </dxf>
    <dxf>
      <fill>
        <patternFill patternType="solid">
          <fgColor rgb="FFF1C40F"/>
        </patternFill>
      </fill>
    </dxf>
    <dxf>
      <fill>
        <patternFill patternType="solid">
          <fgColor rgb="FFE9ECEF"/>
        </patternFill>
      </fill>
    </dxf>
    <dxf>
      <fill>
        <patternFill patternType="solid">
          <fgColor rgb="FFD7BDE2"/>
        </patternFill>
      </fill>
    </dxf>
    <dxf>
      <fill>
        <patternFill patternType="solid">
          <fgColor rgb="FFE74C3C"/>
        </patternFill>
      </fill>
    </dxf>
    <dxf>
      <fill>
        <patternFill patternType="solid">
          <fgColor rgb="FF27AE60"/>
        </patternFill>
      </fill>
    </dxf>
    <dxf>
      <fill>
        <patternFill patternType="solid">
          <fgColor rgb="FFF1C40F"/>
        </patternFill>
      </fill>
    </dxf>
    <dxf>
      <fill>
        <patternFill patternType="solid">
          <fgColor rgb="FFE9ECEF"/>
        </patternFill>
      </fill>
    </dxf>
    <dxf>
      <fill>
        <patternFill patternType="solid">
          <fgColor rgb="FFD7BDE2"/>
        </patternFill>
      </fill>
    </dxf>
    <dxf>
      <fill>
        <patternFill patternType="solid">
          <fgColor rgb="FFE6FCF5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FE5D0"/>
        </patternFill>
      </fill>
    </dxf>
    <dxf>
      <fill>
        <patternFill patternType="solid">
          <fgColor rgb="FFE9ECEF"/>
        </patternFill>
      </fill>
    </dxf>
    <dxf>
      <fill>
        <patternFill patternType="solid">
          <fgColor rgb="FFE9ECEF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ADBD8"/>
        </patternFill>
      </fill>
    </dxf>
    <dxf>
      <fill>
        <patternFill patternType="solid">
          <fgColor rgb="FFE9ECEF"/>
        </patternFill>
      </fill>
    </dxf>
    <dxf>
      <fill>
        <patternFill patternType="solid">
          <fgColor rgb="FFE6FCF5"/>
        </patternFill>
      </fill>
    </dxf>
    <dxf>
      <fill>
        <patternFill patternType="solid">
          <fgColor rgb="FFD7BDE2"/>
        </patternFill>
      </fill>
    </dxf>
    <dxf>
      <fill>
        <patternFill patternType="solid">
          <fgColor rgb="FFE74C3C"/>
        </patternFill>
      </fill>
    </dxf>
    <dxf>
      <fill>
        <patternFill patternType="solid">
          <fgColor rgb="FF27AE60"/>
        </patternFill>
      </fill>
    </dxf>
    <dxf>
      <fill>
        <patternFill patternType="solid">
          <fgColor rgb="FFF1C40F"/>
        </patternFill>
      </fill>
    </dxf>
    <dxf>
      <fill>
        <patternFill patternType="solid">
          <fgColor rgb="FFE9ECEF"/>
        </patternFill>
      </fill>
    </dxf>
    <dxf>
      <fill>
        <patternFill patternType="solid">
          <fgColor rgb="FFD6EAF8"/>
        </patternFill>
      </fill>
    </dxf>
    <dxf>
      <fill>
        <patternFill patternType="solid">
          <fgColor rgb="FFD7BDE2"/>
        </patternFill>
      </fill>
    </dxf>
    <dxf>
      <fill>
        <patternFill patternType="solid">
          <fgColor rgb="FFE74C3C"/>
        </patternFill>
      </fill>
    </dxf>
    <dxf>
      <fill>
        <patternFill patternType="solid">
          <fgColor rgb="FF27AE60"/>
        </patternFill>
      </fill>
    </dxf>
    <dxf>
      <fill>
        <patternFill patternType="solid">
          <fgColor rgb="FFF1C40F"/>
        </patternFill>
      </fill>
    </dxf>
    <dxf>
      <fill>
        <patternFill patternType="solid">
          <fgColor rgb="FFE9ECEF"/>
        </patternFill>
      </fill>
    </dxf>
    <dxf>
      <fill>
        <patternFill patternType="solid">
          <fgColor rgb="FFD7BDE2"/>
        </patternFill>
      </fill>
    </dxf>
    <dxf>
      <fill>
        <patternFill patternType="solid">
          <fgColor rgb="FFE74C3C"/>
        </patternFill>
      </fill>
    </dxf>
    <dxf>
      <fill>
        <patternFill patternType="solid">
          <fgColor rgb="FF27AE60"/>
        </patternFill>
      </fill>
    </dxf>
    <dxf>
      <fill>
        <patternFill patternType="solid">
          <fgColor rgb="FFF1C40F"/>
        </patternFill>
      </fill>
    </dxf>
    <dxf>
      <fill>
        <patternFill patternType="solid">
          <fgColor rgb="FFE9ECEF"/>
        </patternFill>
      </fill>
    </dxf>
    <dxf>
      <fill>
        <patternFill patternType="solid">
          <fgColor rgb="FFD7BDE2"/>
        </patternFill>
      </fill>
    </dxf>
    <dxf>
      <fill>
        <patternFill patternType="solid">
          <fgColor rgb="FFE74C3C"/>
        </patternFill>
      </fill>
    </dxf>
    <dxf>
      <fill>
        <patternFill patternType="solid">
          <fgColor rgb="FF27AE60"/>
        </patternFill>
      </fill>
    </dxf>
    <dxf>
      <fill>
        <patternFill patternType="solid">
          <fgColor rgb="FFF1C40F"/>
        </patternFill>
      </fill>
    </dxf>
    <dxf>
      <fill>
        <patternFill patternType="solid">
          <fgColor rgb="FFE9ECE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Tasks by Status (Engineering)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DASHBOARD!$I$13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DASHBOARD!$H$14:$H$18</c:f>
              <c:strCache>
                <c:ptCount val="5"/>
                <c:pt idx="0">
                  <c:v>Not Started</c:v>
                </c:pt>
                <c:pt idx="1">
                  <c:v>In Progress</c:v>
                </c:pt>
                <c:pt idx="2">
                  <c:v>Done</c:v>
                </c:pt>
                <c:pt idx="3">
                  <c:v>Blocked</c:v>
                </c:pt>
                <c:pt idx="4">
                  <c:v>Optional</c:v>
                </c:pt>
              </c:strCache>
            </c:strRef>
          </c:cat>
          <c:val>
            <c:numRef>
              <c:f>DASHBOARD!$I$14:$I$18</c:f>
              <c:numCache>
                <c:formatCode>General</c:formatCode>
                <c:ptCount val="5"/>
                <c:pt idx="0">
                  <c:v>23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AB-4690-BD5B-BA55C2749E5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Progress over time (by task end date)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DASHBOARD!$I$21</c:f>
              <c:strCache>
                <c:ptCount val="1"/>
                <c:pt idx="0">
                  <c:v>Planned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DASHBOARD!$H$22:$H$46</c:f>
              <c:numCache>
                <c:formatCode>d\-mmm\-yy</c:formatCode>
                <c:ptCount val="25"/>
                <c:pt idx="0">
                  <c:v>46041</c:v>
                </c:pt>
                <c:pt idx="1">
                  <c:v>46042</c:v>
                </c:pt>
                <c:pt idx="2">
                  <c:v>46043</c:v>
                </c:pt>
                <c:pt idx="3">
                  <c:v>46044</c:v>
                </c:pt>
                <c:pt idx="4">
                  <c:v>46045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46055</c:v>
                </c:pt>
                <c:pt idx="11">
                  <c:v>46056</c:v>
                </c:pt>
                <c:pt idx="12">
                  <c:v>46057</c:v>
                </c:pt>
                <c:pt idx="13">
                  <c:v>46058</c:v>
                </c:pt>
                <c:pt idx="14">
                  <c:v>46059</c:v>
                </c:pt>
                <c:pt idx="15">
                  <c:v>46062</c:v>
                </c:pt>
                <c:pt idx="16">
                  <c:v>46063</c:v>
                </c:pt>
                <c:pt idx="17">
                  <c:v>46064</c:v>
                </c:pt>
                <c:pt idx="18">
                  <c:v>46065</c:v>
                </c:pt>
                <c:pt idx="19">
                  <c:v>46066</c:v>
                </c:pt>
                <c:pt idx="20">
                  <c:v>46069</c:v>
                </c:pt>
                <c:pt idx="21">
                  <c:v>46070</c:v>
                </c:pt>
                <c:pt idx="22">
                  <c:v>46071</c:v>
                </c:pt>
                <c:pt idx="23">
                  <c:v>46072</c:v>
                </c:pt>
                <c:pt idx="24">
                  <c:v>46073</c:v>
                </c:pt>
              </c:numCache>
            </c:numRef>
          </c:cat>
          <c:val>
            <c:numRef>
              <c:f>DASHBOARD!$I$22:$I$46</c:f>
              <c:numCache>
                <c:formatCode>0%</c:formatCode>
                <c:ptCount val="25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0.16666666666666666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0.29166666666666669</c:v>
                </c:pt>
                <c:pt idx="9">
                  <c:v>0.33333333333333331</c:v>
                </c:pt>
                <c:pt idx="10">
                  <c:v>0.375</c:v>
                </c:pt>
                <c:pt idx="11">
                  <c:v>0.41666666666666669</c:v>
                </c:pt>
                <c:pt idx="12">
                  <c:v>0.45833333333333331</c:v>
                </c:pt>
                <c:pt idx="13">
                  <c:v>0.5</c:v>
                </c:pt>
                <c:pt idx="14">
                  <c:v>0.5</c:v>
                </c:pt>
                <c:pt idx="15">
                  <c:v>0.54166666666666663</c:v>
                </c:pt>
                <c:pt idx="16">
                  <c:v>0.58333333333333337</c:v>
                </c:pt>
                <c:pt idx="17">
                  <c:v>0.625</c:v>
                </c:pt>
                <c:pt idx="18">
                  <c:v>0.66666666666666663</c:v>
                </c:pt>
                <c:pt idx="19">
                  <c:v>0.75</c:v>
                </c:pt>
                <c:pt idx="20">
                  <c:v>0.75</c:v>
                </c:pt>
                <c:pt idx="21">
                  <c:v>0.79166666666666663</c:v>
                </c:pt>
                <c:pt idx="22">
                  <c:v>0.875</c:v>
                </c:pt>
                <c:pt idx="23">
                  <c:v>0.95833333333333337</c:v>
                </c:pt>
                <c:pt idx="24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F8-47F8-8A80-3FBE69050489}"/>
            </c:ext>
          </c:extLst>
        </c:ser>
        <c:ser>
          <c:idx val="1"/>
          <c:order val="1"/>
          <c:tx>
            <c:strRef>
              <c:f>DASHBOARD!$J$21</c:f>
              <c:strCache>
                <c:ptCount val="1"/>
                <c:pt idx="0">
                  <c:v>Actual %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DASHBOARD!$H$22:$H$46</c:f>
              <c:numCache>
                <c:formatCode>d\-mmm\-yy</c:formatCode>
                <c:ptCount val="25"/>
                <c:pt idx="0">
                  <c:v>46041</c:v>
                </c:pt>
                <c:pt idx="1">
                  <c:v>46042</c:v>
                </c:pt>
                <c:pt idx="2">
                  <c:v>46043</c:v>
                </c:pt>
                <c:pt idx="3">
                  <c:v>46044</c:v>
                </c:pt>
                <c:pt idx="4">
                  <c:v>46045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46055</c:v>
                </c:pt>
                <c:pt idx="11">
                  <c:v>46056</c:v>
                </c:pt>
                <c:pt idx="12">
                  <c:v>46057</c:v>
                </c:pt>
                <c:pt idx="13">
                  <c:v>46058</c:v>
                </c:pt>
                <c:pt idx="14">
                  <c:v>46059</c:v>
                </c:pt>
                <c:pt idx="15">
                  <c:v>46062</c:v>
                </c:pt>
                <c:pt idx="16">
                  <c:v>46063</c:v>
                </c:pt>
                <c:pt idx="17">
                  <c:v>46064</c:v>
                </c:pt>
                <c:pt idx="18">
                  <c:v>46065</c:v>
                </c:pt>
                <c:pt idx="19">
                  <c:v>46066</c:v>
                </c:pt>
                <c:pt idx="20">
                  <c:v>46069</c:v>
                </c:pt>
                <c:pt idx="21">
                  <c:v>46070</c:v>
                </c:pt>
                <c:pt idx="22">
                  <c:v>46071</c:v>
                </c:pt>
                <c:pt idx="23">
                  <c:v>46072</c:v>
                </c:pt>
                <c:pt idx="24">
                  <c:v>46073</c:v>
                </c:pt>
              </c:numCache>
            </c:numRef>
          </c:cat>
          <c:val>
            <c:numRef>
              <c:f>DASHBOARD!$J$22:$J$46</c:f>
              <c:numCache>
                <c:formatCode>0%</c:formatCode>
                <c:ptCount val="25"/>
                <c:pt idx="0">
                  <c:v>4.1666666666666664E-2</c:v>
                </c:pt>
                <c:pt idx="1">
                  <c:v>4.1666666666666664E-2</c:v>
                </c:pt>
                <c:pt idx="2">
                  <c:v>4.1666666666666664E-2</c:v>
                </c:pt>
                <c:pt idx="3">
                  <c:v>4.1666666666666664E-2</c:v>
                </c:pt>
                <c:pt idx="4">
                  <c:v>4.1666666666666664E-2</c:v>
                </c:pt>
                <c:pt idx="5">
                  <c:v>4.1666666666666664E-2</c:v>
                </c:pt>
                <c:pt idx="6">
                  <c:v>4.1666666666666664E-2</c:v>
                </c:pt>
                <c:pt idx="7">
                  <c:v>4.1666666666666664E-2</c:v>
                </c:pt>
                <c:pt idx="8">
                  <c:v>4.1666666666666664E-2</c:v>
                </c:pt>
                <c:pt idx="9">
                  <c:v>4.1666666666666664E-2</c:v>
                </c:pt>
                <c:pt idx="10">
                  <c:v>4.1666666666666664E-2</c:v>
                </c:pt>
                <c:pt idx="11">
                  <c:v>4.1666666666666664E-2</c:v>
                </c:pt>
                <c:pt idx="12">
                  <c:v>4.1666666666666664E-2</c:v>
                </c:pt>
                <c:pt idx="13">
                  <c:v>4.1666666666666664E-2</c:v>
                </c:pt>
                <c:pt idx="14">
                  <c:v>4.1666666666666664E-2</c:v>
                </c:pt>
                <c:pt idx="15">
                  <c:v>4.1666666666666664E-2</c:v>
                </c:pt>
                <c:pt idx="16">
                  <c:v>4.1666666666666664E-2</c:v>
                </c:pt>
                <c:pt idx="17">
                  <c:v>4.1666666666666664E-2</c:v>
                </c:pt>
                <c:pt idx="18">
                  <c:v>4.1666666666666664E-2</c:v>
                </c:pt>
                <c:pt idx="19">
                  <c:v>4.1666666666666664E-2</c:v>
                </c:pt>
                <c:pt idx="20">
                  <c:v>4.1666666666666664E-2</c:v>
                </c:pt>
                <c:pt idx="21">
                  <c:v>4.1666666666666664E-2</c:v>
                </c:pt>
                <c:pt idx="22">
                  <c:v>4.1666666666666664E-2</c:v>
                </c:pt>
                <c:pt idx="23">
                  <c:v>4.1666666666666664E-2</c:v>
                </c:pt>
                <c:pt idx="24">
                  <c:v>4.1666666666666664E-2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F8-47F8-8A80-3FBE69050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dd\-mmm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  <c:max val="1"/>
          <c:min val="0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BOM Completion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DASHBOARD!$M$13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DASHBOARD!$L$14:$L$15</c:f>
              <c:strCache>
                <c:ptCount val="2"/>
                <c:pt idx="0">
                  <c:v>Received</c:v>
                </c:pt>
                <c:pt idx="1">
                  <c:v>Not received</c:v>
                </c:pt>
              </c:strCache>
            </c:strRef>
          </c:cat>
          <c:val>
            <c:numRef>
              <c:f>DASHBOARD!$M$14:$M$15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B-4F0E-B365-7B51728B8CB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Overall Completion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DASHBOARD!$M$17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DASHBOARD!$L$18:$L$19</c:f>
              <c:strCache>
                <c:ptCount val="2"/>
                <c:pt idx="0">
                  <c:v>Complete</c:v>
                </c:pt>
                <c:pt idx="1">
                  <c:v>Remaining</c:v>
                </c:pt>
              </c:strCache>
            </c:strRef>
          </c:cat>
          <c:val>
            <c:numRef>
              <c:f>DASHBOARD!$M$18:$M$19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8-4B02-BEE4-3B1F1858BF7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Tasks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GANTT!$J$3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GANTT!$I$4:$I$8</c:f>
              <c:strCache>
                <c:ptCount val="3"/>
                <c:pt idx="0">
                  <c:v>Not Started</c:v>
                </c:pt>
                <c:pt idx="1">
                  <c:v>In Progress</c:v>
                </c:pt>
                <c:pt idx="2">
                  <c:v>Done</c:v>
                </c:pt>
              </c:strCache>
            </c:strRef>
          </c:cat>
          <c:val>
            <c:numRef>
              <c:f>GANTT!$J$4:$J$8</c:f>
              <c:numCache>
                <c:formatCode>General</c:formatCode>
                <c:ptCount val="5"/>
                <c:pt idx="0">
                  <c:v>23</c:v>
                </c:pt>
                <c:pt idx="1">
                  <c:v>0</c:v>
                </c:pt>
                <c:pt idx="2" formatCode="d\-mmm">
                  <c:v>1</c:v>
                </c:pt>
                <c:pt idx="3" formatCode=";;;">
                  <c:v>0</c:v>
                </c:pt>
                <c:pt idx="4" formatCode=";;;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8-4BC7-A6E7-D9EF4461BD7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BOM Items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BOM!$L$3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BOM!$K$4:$K$8</c:f>
              <c:strCache>
                <c:ptCount val="5"/>
                <c:pt idx="0">
                  <c:v>To Get</c:v>
                </c:pt>
                <c:pt idx="1">
                  <c:v>To Buy</c:v>
                </c:pt>
                <c:pt idx="2">
                  <c:v>Ordered</c:v>
                </c:pt>
                <c:pt idx="3">
                  <c:v>Received</c:v>
                </c:pt>
                <c:pt idx="4">
                  <c:v>Optional</c:v>
                </c:pt>
              </c:strCache>
            </c:strRef>
          </c:cat>
          <c:val>
            <c:numRef>
              <c:f>BOM!$L$4:$L$8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B-43CA-A85E-FCE4B5B9CBA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BOM Cost (Received vs Outstanding)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BOM!$L$18</c:f>
              <c:strCache>
                <c:ptCount val="1"/>
                <c:pt idx="0">
                  <c:v>£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BOM!$K$19:$K$20</c:f>
              <c:strCache>
                <c:ptCount val="2"/>
                <c:pt idx="0">
                  <c:v>Received</c:v>
                </c:pt>
                <c:pt idx="1">
                  <c:v>Outstanding</c:v>
                </c:pt>
              </c:strCache>
            </c:strRef>
          </c:cat>
          <c:val>
            <c:numRef>
              <c:f>BOM!$L$19:$L$20</c:f>
              <c:numCache>
                <c:formatCode>\£0.00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2-4C4F-95A4-DEDC6E482AAF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\£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Report Completion by Section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'REPORT BREAKDOWN'!$F$6</c:f>
              <c:strCache>
                <c:ptCount val="1"/>
                <c:pt idx="0">
                  <c:v>% Complete (auto)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'REPORT BREAKDOWN'!$A$7:$A$13</c:f>
              <c:strCache>
                <c:ptCount val="7"/>
                <c:pt idx="0">
                  <c:v>Introduction</c:v>
                </c:pt>
                <c:pt idx="1">
                  <c:v>Technical Background</c:v>
                </c:pt>
                <c:pt idx="2">
                  <c:v>Design Description</c:v>
                </c:pt>
                <c:pt idx="3">
                  <c:v>PCB Design</c:v>
                </c:pt>
                <c:pt idx="4">
                  <c:v>Results</c:v>
                </c:pt>
                <c:pt idx="5">
                  <c:v>References</c:v>
                </c:pt>
                <c:pt idx="6">
                  <c:v>Appendices</c:v>
                </c:pt>
              </c:strCache>
            </c:strRef>
          </c:cat>
          <c:val>
            <c:numRef>
              <c:f>'REPORT BREAKDOWN'!$F$7:$F$13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6A-4E87-B93F-9BB0D0849DD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</c:scaling>
        <c:delete val="1"/>
        <c:axPos val="l"/>
        <c:majorGridlines/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285750</xdr:colOff>
      <xdr:row>7</xdr:row>
      <xdr:rowOff>47625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152400</xdr:colOff>
      <xdr:row>30</xdr:row>
      <xdr:rowOff>180975</xdr:rowOff>
    </xdr:from>
    <xdr:ext cx="864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266700</xdr:colOff>
      <xdr:row>19</xdr:row>
      <xdr:rowOff>514350</xdr:rowOff>
    </xdr:from>
    <xdr:ext cx="3600000" cy="21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17</xdr:col>
      <xdr:colOff>495300</xdr:colOff>
      <xdr:row>19</xdr:row>
      <xdr:rowOff>533400</xdr:rowOff>
    </xdr:from>
    <xdr:ext cx="3600000" cy="21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33</xdr:col>
      <xdr:colOff>285750</xdr:colOff>
      <xdr:row>4</xdr:row>
      <xdr:rowOff>123825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466725</xdr:colOff>
      <xdr:row>6</xdr:row>
      <xdr:rowOff>123825</xdr:rowOff>
    </xdr:from>
    <xdr:ext cx="3600000" cy="21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428625</xdr:colOff>
      <xdr:row>18</xdr:row>
      <xdr:rowOff>9525</xdr:rowOff>
    </xdr:from>
    <xdr:ext cx="3600000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14</xdr:row>
      <xdr:rowOff>171450</xdr:rowOff>
    </xdr:from>
    <xdr:ext cx="50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tabSelected="1" workbookViewId="0">
      <pane ySplit="4" topLeftCell="A5" activePane="bottomLeft" state="frozen"/>
      <selection pane="bottomLeft" sqref="A1:N1"/>
    </sheetView>
  </sheetViews>
  <sheetFormatPr defaultRowHeight="15" x14ac:dyDescent="0.25"/>
  <cols>
    <col min="1" max="1" width="25.5703125" bestFit="1" customWidth="1"/>
    <col min="2" max="2" width="11.140625" bestFit="1" customWidth="1"/>
    <col min="3" max="3" width="19.28515625" bestFit="1" customWidth="1"/>
    <col min="4" max="4" width="17.85546875" bestFit="1" customWidth="1"/>
    <col min="5" max="5" width="11.5703125" bestFit="1" customWidth="1"/>
    <col min="6" max="6" width="12.7109375" bestFit="1" customWidth="1"/>
    <col min="7" max="7" width="9" bestFit="1" customWidth="1"/>
    <col min="8" max="8" width="14.28515625" bestFit="1" customWidth="1"/>
    <col min="9" max="9" width="8.28515625" bestFit="1" customWidth="1"/>
    <col min="10" max="10" width="8.5703125" bestFit="1" customWidth="1"/>
    <col min="11" max="11" width="2" customWidth="1"/>
    <col min="12" max="12" width="16.42578125" bestFit="1" customWidth="1"/>
    <col min="13" max="13" width="8.42578125" bestFit="1" customWidth="1"/>
    <col min="14" max="14" width="2" customWidth="1"/>
  </cols>
  <sheetData>
    <row r="1" spans="1:14" ht="33.950000000000003" customHeight="1" x14ac:dyDescent="0.25">
      <c r="A1" s="38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0.100000000000001" customHeight="1" x14ac:dyDescent="0.25">
      <c r="A2" s="37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18" customHeight="1" x14ac:dyDescent="0.25">
      <c r="A3" s="36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5" spans="1:14" ht="30" x14ac:dyDescent="0.25">
      <c r="A5" s="1" t="s">
        <v>3</v>
      </c>
      <c r="B5" s="2" t="s">
        <v>4</v>
      </c>
      <c r="D5" s="3" t="s">
        <v>5</v>
      </c>
      <c r="E5" s="4" t="s">
        <v>6</v>
      </c>
      <c r="F5" s="5">
        <v>0.55000000000000004</v>
      </c>
      <c r="G5" s="6" t="s">
        <v>7</v>
      </c>
      <c r="H5" s="7" t="s">
        <v>8</v>
      </c>
      <c r="I5" s="7" t="s">
        <v>9</v>
      </c>
      <c r="J5" s="7" t="s">
        <v>10</v>
      </c>
    </row>
    <row r="6" spans="1:14" ht="18.75" x14ac:dyDescent="0.25">
      <c r="A6" s="1" t="s">
        <v>11</v>
      </c>
      <c r="B6" s="8" t="e">
        <f>ROUND(($B$8*$H$6+$B$9*$I$6+$B$10*$J$6),4)</f>
        <v>#VALUE!</v>
      </c>
      <c r="D6" s="3" t="s">
        <v>12</v>
      </c>
      <c r="E6" s="4" t="s">
        <v>13</v>
      </c>
      <c r="F6" s="5">
        <v>0.35</v>
      </c>
      <c r="G6" s="9" t="s">
        <v>14</v>
      </c>
      <c r="H6" s="5">
        <f>IFERROR($F$5/SUM($F$5:$F$7),0)</f>
        <v>0.55000000000000004</v>
      </c>
      <c r="I6" s="5">
        <f>IFERROR($F$6/SUM($F$5:$F$7),0)</f>
        <v>0.35</v>
      </c>
      <c r="J6" s="5">
        <f>IFERROR($F$7/SUM($F$5:$F$7),0)</f>
        <v>0.1</v>
      </c>
    </row>
    <row r="7" spans="1:14" x14ac:dyDescent="0.25">
      <c r="A7" s="1" t="s">
        <v>15</v>
      </c>
      <c r="B7" s="10">
        <f ca="1">MAX(0,DATE(2026,2,20)-TODAY())</f>
        <v>29</v>
      </c>
      <c r="E7" s="4" t="s">
        <v>10</v>
      </c>
      <c r="F7" s="5">
        <v>0.1</v>
      </c>
    </row>
    <row r="8" spans="1:14" x14ac:dyDescent="0.25">
      <c r="A8" s="1" t="s">
        <v>16</v>
      </c>
      <c r="B8" s="11">
        <f>IFERROR(GANTT!$F$3,0)</f>
        <v>4.1666666666666664E-2</v>
      </c>
      <c r="E8" s="4" t="s">
        <v>17</v>
      </c>
      <c r="F8" s="11">
        <f>SUM($F$5:$F$7)</f>
        <v>1</v>
      </c>
    </row>
    <row r="9" spans="1:14" x14ac:dyDescent="0.25">
      <c r="A9" s="1" t="s">
        <v>18</v>
      </c>
      <c r="B9" s="11">
        <f>IFERROR('REPORT BREAKDOWN'!$H$3,0)</f>
        <v>0</v>
      </c>
    </row>
    <row r="10" spans="1:14" x14ac:dyDescent="0.25">
      <c r="A10" s="1" t="s">
        <v>19</v>
      </c>
      <c r="B10" s="11" t="str">
        <f>IFERROR(BOM!$K$5,0)</f>
        <v>To Buy</v>
      </c>
    </row>
    <row r="12" spans="1:14" ht="21.95" customHeight="1" x14ac:dyDescent="0.25">
      <c r="A12" s="34" t="s">
        <v>20</v>
      </c>
      <c r="B12" s="35"/>
      <c r="C12" s="35"/>
      <c r="D12" s="35"/>
      <c r="H12" s="6" t="s">
        <v>21</v>
      </c>
      <c r="L12" s="6" t="s">
        <v>22</v>
      </c>
    </row>
    <row r="13" spans="1:14" ht="20.100000000000001" customHeight="1" x14ac:dyDescent="0.25">
      <c r="A13" s="12" t="s">
        <v>23</v>
      </c>
      <c r="B13" s="12" t="s">
        <v>24</v>
      </c>
      <c r="C13" s="12" t="s">
        <v>25</v>
      </c>
      <c r="D13" s="12" t="s">
        <v>26</v>
      </c>
      <c r="E13" s="12" t="s">
        <v>27</v>
      </c>
      <c r="F13" s="12" t="s">
        <v>28</v>
      </c>
      <c r="H13" s="13" t="s">
        <v>24</v>
      </c>
      <c r="I13" s="13" t="s">
        <v>29</v>
      </c>
      <c r="L13" s="12" t="s">
        <v>30</v>
      </c>
      <c r="M13" s="12" t="s">
        <v>29</v>
      </c>
    </row>
    <row r="14" spans="1:14" x14ac:dyDescent="0.25">
      <c r="A14" s="14" t="s">
        <v>31</v>
      </c>
      <c r="B14" s="15" t="s">
        <v>4</v>
      </c>
      <c r="C14" s="15"/>
      <c r="D14" s="5">
        <f>IF(ISNUMBER($C14),$C14/100,IFERROR(VLOOKUP($B14,_Lists!$A$2:$B$6,2,FALSE)/100,0))</f>
        <v>0</v>
      </c>
      <c r="E14" s="14"/>
      <c r="F14" s="16">
        <v>46052</v>
      </c>
      <c r="H14" s="14" t="s">
        <v>4</v>
      </c>
      <c r="I14" s="15">
        <f>COUNTIF(GANTT!$E$7:$E$200,"Not Started")</f>
        <v>23</v>
      </c>
      <c r="L14" s="14" t="s">
        <v>32</v>
      </c>
      <c r="M14" s="15">
        <f>COUNTIF(BOM!$E$7:$E$200,"Received")</f>
        <v>5</v>
      </c>
    </row>
    <row r="15" spans="1:14" x14ac:dyDescent="0.25">
      <c r="A15" s="14" t="s">
        <v>33</v>
      </c>
      <c r="B15" s="15" t="s">
        <v>4</v>
      </c>
      <c r="C15" s="15"/>
      <c r="D15" s="5">
        <f>IF(ISNUMBER($C15),$C15/100,IFERROR(VLOOKUP($B15,_Lists!$A$2:$B$6,2,FALSE)/100,0))</f>
        <v>0</v>
      </c>
      <c r="E15" s="14"/>
      <c r="F15" s="16">
        <v>46056</v>
      </c>
      <c r="H15" s="14" t="s">
        <v>34</v>
      </c>
      <c r="I15" s="15">
        <f>COUNTIF(GANTT!$E$7:$E$200,"In Progress")</f>
        <v>0</v>
      </c>
      <c r="L15" s="14" t="s">
        <v>35</v>
      </c>
      <c r="M15" s="15">
        <f>COUNTIF(BOM!$E$7:$E$200,"&lt;&gt;Received")-COUNTIF(BOM!$E$7:$E$200,"")</f>
        <v>10</v>
      </c>
    </row>
    <row r="16" spans="1:14" x14ac:dyDescent="0.25">
      <c r="A16" s="14" t="s">
        <v>36</v>
      </c>
      <c r="B16" s="15" t="s">
        <v>4</v>
      </c>
      <c r="C16" s="15"/>
      <c r="D16" s="5">
        <f>IF(ISNUMBER($C16),$C16/100,IFERROR(VLOOKUP($B16,_Lists!$A$2:$B$6,2,FALSE)/100,0))</f>
        <v>0</v>
      </c>
      <c r="E16" s="14"/>
      <c r="F16" s="16">
        <v>46062</v>
      </c>
      <c r="H16" s="14" t="s">
        <v>37</v>
      </c>
      <c r="I16" s="15">
        <f>COUNTIF(GANTT!$E$7:$E$200,"Done")</f>
        <v>1</v>
      </c>
    </row>
    <row r="17" spans="1:13" x14ac:dyDescent="0.25">
      <c r="A17" s="14" t="s">
        <v>38</v>
      </c>
      <c r="B17" s="15" t="s">
        <v>4</v>
      </c>
      <c r="C17" s="15"/>
      <c r="D17" s="5">
        <f>IF(ISNUMBER($C17),$C17/100,IFERROR(VLOOKUP($B17,_Lists!$A$2:$B$6,2,FALSE)/100,0))</f>
        <v>0</v>
      </c>
      <c r="E17" s="14"/>
      <c r="F17" s="16">
        <v>46066</v>
      </c>
      <c r="H17" s="14" t="s">
        <v>39</v>
      </c>
      <c r="I17" s="15">
        <f>COUNTIF(GANTT!$E$7:$E$200,"Blocked")</f>
        <v>0</v>
      </c>
      <c r="L17" s="13" t="s">
        <v>40</v>
      </c>
      <c r="M17" s="13" t="s">
        <v>41</v>
      </c>
    </row>
    <row r="18" spans="1:13" x14ac:dyDescent="0.25">
      <c r="A18" s="14" t="s">
        <v>42</v>
      </c>
      <c r="B18" s="15" t="s">
        <v>4</v>
      </c>
      <c r="C18" s="15"/>
      <c r="D18" s="5">
        <f>IF(ISNUMBER($C18),$C18/100,IFERROR(VLOOKUP($B18,_Lists!$A$2:$B$6,2,FALSE)/100,0))</f>
        <v>0</v>
      </c>
      <c r="E18" s="14"/>
      <c r="F18" s="16">
        <v>46069</v>
      </c>
      <c r="H18" s="14" t="s">
        <v>43</v>
      </c>
      <c r="I18" s="15">
        <f>COUNTIF(GANTT!$E$7:$E$200,"Optional")</f>
        <v>1</v>
      </c>
      <c r="L18" s="14" t="s">
        <v>44</v>
      </c>
      <c r="M18" s="17" t="e">
        <f>B6</f>
        <v>#VALUE!</v>
      </c>
    </row>
    <row r="19" spans="1:13" x14ac:dyDescent="0.25">
      <c r="A19" s="14" t="s">
        <v>45</v>
      </c>
      <c r="B19" s="15" t="s">
        <v>4</v>
      </c>
      <c r="C19" s="15"/>
      <c r="D19" s="5">
        <f>IF(ISNUMBER($C19),$C19/100,IFERROR(VLOOKUP($B19,_Lists!$A$2:$B$6,2,FALSE)/100,0))</f>
        <v>0</v>
      </c>
      <c r="E19" s="14"/>
      <c r="F19" s="16">
        <v>46071</v>
      </c>
      <c r="L19" s="14" t="s">
        <v>46</v>
      </c>
      <c r="M19" s="17" t="e">
        <f>1-M18</f>
        <v>#VALUE!</v>
      </c>
    </row>
    <row r="20" spans="1:13" ht="60" x14ac:dyDescent="0.25">
      <c r="A20" s="14" t="s">
        <v>47</v>
      </c>
      <c r="B20" s="15" t="s">
        <v>4</v>
      </c>
      <c r="C20" s="15"/>
      <c r="D20" s="5">
        <f>IF(ISNUMBER($C20),$C20/100,IFERROR(VLOOKUP($B20,_Lists!$A$2:$B$6,2,FALSE)/100,0))</f>
        <v>0</v>
      </c>
      <c r="E20" s="14"/>
      <c r="F20" s="16">
        <v>46073</v>
      </c>
      <c r="H20" s="6" t="s">
        <v>48</v>
      </c>
    </row>
    <row r="21" spans="1:13" ht="30" x14ac:dyDescent="0.25">
      <c r="H21" s="12" t="s">
        <v>49</v>
      </c>
      <c r="I21" s="12" t="s">
        <v>50</v>
      </c>
      <c r="J21" s="12" t="s">
        <v>51</v>
      </c>
    </row>
    <row r="22" spans="1:13" x14ac:dyDescent="0.25">
      <c r="H22" s="18">
        <v>46041</v>
      </c>
      <c r="I22" s="5">
        <f>IF($H22="","",IFERROR(COUNTIFS(GANTT!$C$7:$C$200,"&lt;="&amp;$H22,GANTT!$E$7:$E$200,"&lt;&gt;Optional",GANTT!$A$7:$A$200,"&lt;&gt;")/MAX(1,COUNTIFS(GANTT!$E$7:$E$200,"&lt;&gt;Optional",GANTT!$A$7:$A$200,"&lt;&gt;")),0))</f>
        <v>4.1666666666666664E-2</v>
      </c>
      <c r="J22" s="5">
        <f>IF($H22="","",IFERROR(COUNTIFS(GANTT!$C$7:$C$200,"&lt;="&amp;$H22,GANTT!$E$7:$E$200,"Done",GANTT!$A$7:$A$200,"&lt;&gt;")/MAX(1,COUNTIFS(GANTT!$E$7:$E$200,"&lt;&gt;Optional",GANTT!$A$7:$A$200,"&lt;&gt;")),0))</f>
        <v>4.1666666666666664E-2</v>
      </c>
    </row>
    <row r="23" spans="1:13" x14ac:dyDescent="0.25">
      <c r="H23" s="18">
        <v>46042</v>
      </c>
      <c r="I23" s="5">
        <f>IF($H23="","",IFERROR(COUNTIFS(GANTT!$C$7:$C$200,"&lt;="&amp;$H23,GANTT!$E$7:$E$200,"&lt;&gt;Optional",GANTT!$A$7:$A$200,"&lt;&gt;")/MAX(1,COUNTIFS(GANTT!$E$7:$E$200,"&lt;&gt;Optional",GANTT!$A$7:$A$200,"&lt;&gt;")),0))</f>
        <v>8.3333333333333329E-2</v>
      </c>
      <c r="J23" s="5">
        <f>IF($H23="","",IFERROR(COUNTIFS(GANTT!$C$7:$C$200,"&lt;="&amp;$H23,GANTT!$E$7:$E$200,"Done",GANTT!$A$7:$A$200,"&lt;&gt;")/MAX(1,COUNTIFS(GANTT!$E$7:$E$200,"&lt;&gt;Optional",GANTT!$A$7:$A$200,"&lt;&gt;")),0))</f>
        <v>4.1666666666666664E-2</v>
      </c>
    </row>
    <row r="24" spans="1:13" x14ac:dyDescent="0.25">
      <c r="H24" s="18">
        <v>46043</v>
      </c>
      <c r="I24" s="5">
        <f>IF($H24="","",IFERROR(COUNTIFS(GANTT!$C$7:$C$200,"&lt;="&amp;$H24,GANTT!$E$7:$E$200,"&lt;&gt;Optional",GANTT!$A$7:$A$200,"&lt;&gt;")/MAX(1,COUNTIFS(GANTT!$E$7:$E$200,"&lt;&gt;Optional",GANTT!$A$7:$A$200,"&lt;&gt;")),0))</f>
        <v>0.125</v>
      </c>
      <c r="J24" s="5">
        <f>IF($H24="","",IFERROR(COUNTIFS(GANTT!$C$7:$C$200,"&lt;="&amp;$H24,GANTT!$E$7:$E$200,"Done",GANTT!$A$7:$A$200,"&lt;&gt;")/MAX(1,COUNTIFS(GANTT!$E$7:$E$200,"&lt;&gt;Optional",GANTT!$A$7:$A$200,"&lt;&gt;")),0))</f>
        <v>4.1666666666666664E-2</v>
      </c>
    </row>
    <row r="25" spans="1:13" x14ac:dyDescent="0.25">
      <c r="H25" s="18">
        <v>46044</v>
      </c>
      <c r="I25" s="5">
        <f>IF($H25="","",IFERROR(COUNTIFS(GANTT!$C$7:$C$200,"&lt;="&amp;$H25,GANTT!$E$7:$E$200,"&lt;&gt;Optional",GANTT!$A$7:$A$200,"&lt;&gt;")/MAX(1,COUNTIFS(GANTT!$E$7:$E$200,"&lt;&gt;Optional",GANTT!$A$7:$A$200,"&lt;&gt;")),0))</f>
        <v>0.16666666666666666</v>
      </c>
      <c r="J25" s="5">
        <f>IF($H25="","",IFERROR(COUNTIFS(GANTT!$C$7:$C$200,"&lt;="&amp;$H25,GANTT!$E$7:$E$200,"Done",GANTT!$A$7:$A$200,"&lt;&gt;")/MAX(1,COUNTIFS(GANTT!$E$7:$E$200,"&lt;&gt;Optional",GANTT!$A$7:$A$200,"&lt;&gt;")),0))</f>
        <v>4.1666666666666664E-2</v>
      </c>
    </row>
    <row r="26" spans="1:13" x14ac:dyDescent="0.25">
      <c r="H26" s="18">
        <v>46045</v>
      </c>
      <c r="I26" s="5">
        <f>IF($H26="","",IFERROR(COUNTIFS(GANTT!$C$7:$C$200,"&lt;="&amp;$H26,GANTT!$E$7:$E$200,"&lt;&gt;Optional",GANTT!$A$7:$A$200,"&lt;&gt;")/MAX(1,COUNTIFS(GANTT!$E$7:$E$200,"&lt;&gt;Optional",GANTT!$A$7:$A$200,"&lt;&gt;")),0))</f>
        <v>0.20833333333333334</v>
      </c>
      <c r="J26" s="5">
        <f>IF($H26="","",IFERROR(COUNTIFS(GANTT!$C$7:$C$200,"&lt;="&amp;$H26,GANTT!$E$7:$E$200,"Done",GANTT!$A$7:$A$200,"&lt;&gt;")/MAX(1,COUNTIFS(GANTT!$E$7:$E$200,"&lt;&gt;Optional",GANTT!$A$7:$A$200,"&lt;&gt;")),0))</f>
        <v>4.1666666666666664E-2</v>
      </c>
    </row>
    <row r="27" spans="1:13" x14ac:dyDescent="0.25">
      <c r="H27" s="18">
        <v>46048</v>
      </c>
      <c r="I27" s="5">
        <f>IF($H27="","",IFERROR(COUNTIFS(GANTT!$C$7:$C$200,"&lt;="&amp;$H27,GANTT!$E$7:$E$200,"&lt;&gt;Optional",GANTT!$A$7:$A$200,"&lt;&gt;")/MAX(1,COUNTIFS(GANTT!$E$7:$E$200,"&lt;&gt;Optional",GANTT!$A$7:$A$200,"&lt;&gt;")),0))</f>
        <v>0.25</v>
      </c>
      <c r="J27" s="5">
        <f>IF($H27="","",IFERROR(COUNTIFS(GANTT!$C$7:$C$200,"&lt;="&amp;$H27,GANTT!$E$7:$E$200,"Done",GANTT!$A$7:$A$200,"&lt;&gt;")/MAX(1,COUNTIFS(GANTT!$E$7:$E$200,"&lt;&gt;Optional",GANTT!$A$7:$A$200,"&lt;&gt;")),0))</f>
        <v>4.1666666666666664E-2</v>
      </c>
    </row>
    <row r="28" spans="1:13" x14ac:dyDescent="0.25">
      <c r="H28" s="18">
        <v>46049</v>
      </c>
      <c r="I28" s="5">
        <f>IF($H28="","",IFERROR(COUNTIFS(GANTT!$C$7:$C$200,"&lt;="&amp;$H28,GANTT!$E$7:$E$200,"&lt;&gt;Optional",GANTT!$A$7:$A$200,"&lt;&gt;")/MAX(1,COUNTIFS(GANTT!$E$7:$E$200,"&lt;&gt;Optional",GANTT!$A$7:$A$200,"&lt;&gt;")),0))</f>
        <v>0.25</v>
      </c>
      <c r="J28" s="5">
        <f>IF($H28="","",IFERROR(COUNTIFS(GANTT!$C$7:$C$200,"&lt;="&amp;$H28,GANTT!$E$7:$E$200,"Done",GANTT!$A$7:$A$200,"&lt;&gt;")/MAX(1,COUNTIFS(GANTT!$E$7:$E$200,"&lt;&gt;Optional",GANTT!$A$7:$A$200,"&lt;&gt;")),0))</f>
        <v>4.1666666666666664E-2</v>
      </c>
    </row>
    <row r="29" spans="1:13" x14ac:dyDescent="0.25">
      <c r="H29" s="18">
        <v>46050</v>
      </c>
      <c r="I29" s="5">
        <f>IF($H29="","",IFERROR(COUNTIFS(GANTT!$C$7:$C$200,"&lt;="&amp;$H29,GANTT!$E$7:$E$200,"&lt;&gt;Optional",GANTT!$A$7:$A$200,"&lt;&gt;")/MAX(1,COUNTIFS(GANTT!$E$7:$E$200,"&lt;&gt;Optional",GANTT!$A$7:$A$200,"&lt;&gt;")),0))</f>
        <v>0.29166666666666669</v>
      </c>
      <c r="J29" s="5">
        <f>IF($H29="","",IFERROR(COUNTIFS(GANTT!$C$7:$C$200,"&lt;="&amp;$H29,GANTT!$E$7:$E$200,"Done",GANTT!$A$7:$A$200,"&lt;&gt;")/MAX(1,COUNTIFS(GANTT!$E$7:$E$200,"&lt;&gt;Optional",GANTT!$A$7:$A$200,"&lt;&gt;")),0))</f>
        <v>4.1666666666666664E-2</v>
      </c>
    </row>
    <row r="30" spans="1:13" x14ac:dyDescent="0.25">
      <c r="H30" s="18">
        <v>46051</v>
      </c>
      <c r="I30" s="5">
        <f>IF($H30="","",IFERROR(COUNTIFS(GANTT!$C$7:$C$200,"&lt;="&amp;$H30,GANTT!$E$7:$E$200,"&lt;&gt;Optional",GANTT!$A$7:$A$200,"&lt;&gt;")/MAX(1,COUNTIFS(GANTT!$E$7:$E$200,"&lt;&gt;Optional",GANTT!$A$7:$A$200,"&lt;&gt;")),0))</f>
        <v>0.29166666666666669</v>
      </c>
      <c r="J30" s="5">
        <f>IF($H30="","",IFERROR(COUNTIFS(GANTT!$C$7:$C$200,"&lt;="&amp;$H30,GANTT!$E$7:$E$200,"Done",GANTT!$A$7:$A$200,"&lt;&gt;")/MAX(1,COUNTIFS(GANTT!$E$7:$E$200,"&lt;&gt;Optional",GANTT!$A$7:$A$200,"&lt;&gt;")),0))</f>
        <v>4.1666666666666664E-2</v>
      </c>
    </row>
    <row r="31" spans="1:13" x14ac:dyDescent="0.25">
      <c r="H31" s="18">
        <v>46052</v>
      </c>
      <c r="I31" s="5">
        <f>IF($H31="","",IFERROR(COUNTIFS(GANTT!$C$7:$C$200,"&lt;="&amp;$H31,GANTT!$E$7:$E$200,"&lt;&gt;Optional",GANTT!$A$7:$A$200,"&lt;&gt;")/MAX(1,COUNTIFS(GANTT!$E$7:$E$200,"&lt;&gt;Optional",GANTT!$A$7:$A$200,"&lt;&gt;")),0))</f>
        <v>0.33333333333333331</v>
      </c>
      <c r="J31" s="5">
        <f>IF($H31="","",IFERROR(COUNTIFS(GANTT!$C$7:$C$200,"&lt;="&amp;$H31,GANTT!$E$7:$E$200,"Done",GANTT!$A$7:$A$200,"&lt;&gt;")/MAX(1,COUNTIFS(GANTT!$E$7:$E$200,"&lt;&gt;Optional",GANTT!$A$7:$A$200,"&lt;&gt;")),0))</f>
        <v>4.1666666666666664E-2</v>
      </c>
    </row>
    <row r="32" spans="1:13" x14ac:dyDescent="0.25">
      <c r="H32" s="18">
        <v>46055</v>
      </c>
      <c r="I32" s="5">
        <f>IF($H32="","",IFERROR(COUNTIFS(GANTT!$C$7:$C$200,"&lt;="&amp;$H32,GANTT!$E$7:$E$200,"&lt;&gt;Optional",GANTT!$A$7:$A$200,"&lt;&gt;")/MAX(1,COUNTIFS(GANTT!$E$7:$E$200,"&lt;&gt;Optional",GANTT!$A$7:$A$200,"&lt;&gt;")),0))</f>
        <v>0.375</v>
      </c>
      <c r="J32" s="5">
        <f>IF($H32="","",IFERROR(COUNTIFS(GANTT!$C$7:$C$200,"&lt;="&amp;$H32,GANTT!$E$7:$E$200,"Done",GANTT!$A$7:$A$200,"&lt;&gt;")/MAX(1,COUNTIFS(GANTT!$E$7:$E$200,"&lt;&gt;Optional",GANTT!$A$7:$A$200,"&lt;&gt;")),0))</f>
        <v>4.1666666666666664E-2</v>
      </c>
    </row>
    <row r="33" spans="8:10" x14ac:dyDescent="0.25">
      <c r="H33" s="18">
        <v>46056</v>
      </c>
      <c r="I33" s="5">
        <f>IF($H33="","",IFERROR(COUNTIFS(GANTT!$C$7:$C$200,"&lt;="&amp;$H33,GANTT!$E$7:$E$200,"&lt;&gt;Optional",GANTT!$A$7:$A$200,"&lt;&gt;")/MAX(1,COUNTIFS(GANTT!$E$7:$E$200,"&lt;&gt;Optional",GANTT!$A$7:$A$200,"&lt;&gt;")),0))</f>
        <v>0.41666666666666669</v>
      </c>
      <c r="J33" s="5">
        <f>IF($H33="","",IFERROR(COUNTIFS(GANTT!$C$7:$C$200,"&lt;="&amp;$H33,GANTT!$E$7:$E$200,"Done",GANTT!$A$7:$A$200,"&lt;&gt;")/MAX(1,COUNTIFS(GANTT!$E$7:$E$200,"&lt;&gt;Optional",GANTT!$A$7:$A$200,"&lt;&gt;")),0))</f>
        <v>4.1666666666666664E-2</v>
      </c>
    </row>
    <row r="34" spans="8:10" x14ac:dyDescent="0.25">
      <c r="H34" s="18">
        <v>46057</v>
      </c>
      <c r="I34" s="5">
        <f>IF($H34="","",IFERROR(COUNTIFS(GANTT!$C$7:$C$200,"&lt;="&amp;$H34,GANTT!$E$7:$E$200,"&lt;&gt;Optional",GANTT!$A$7:$A$200,"&lt;&gt;")/MAX(1,COUNTIFS(GANTT!$E$7:$E$200,"&lt;&gt;Optional",GANTT!$A$7:$A$200,"&lt;&gt;")),0))</f>
        <v>0.45833333333333331</v>
      </c>
      <c r="J34" s="5">
        <f>IF($H34="","",IFERROR(COUNTIFS(GANTT!$C$7:$C$200,"&lt;="&amp;$H34,GANTT!$E$7:$E$200,"Done",GANTT!$A$7:$A$200,"&lt;&gt;")/MAX(1,COUNTIFS(GANTT!$E$7:$E$200,"&lt;&gt;Optional",GANTT!$A$7:$A$200,"&lt;&gt;")),0))</f>
        <v>4.1666666666666664E-2</v>
      </c>
    </row>
    <row r="35" spans="8:10" x14ac:dyDescent="0.25">
      <c r="H35" s="18">
        <v>46058</v>
      </c>
      <c r="I35" s="5">
        <f>IF($H35="","",IFERROR(COUNTIFS(GANTT!$C$7:$C$200,"&lt;="&amp;$H35,GANTT!$E$7:$E$200,"&lt;&gt;Optional",GANTT!$A$7:$A$200,"&lt;&gt;")/MAX(1,COUNTIFS(GANTT!$E$7:$E$200,"&lt;&gt;Optional",GANTT!$A$7:$A$200,"&lt;&gt;")),0))</f>
        <v>0.5</v>
      </c>
      <c r="J35" s="5">
        <f>IF($H35="","",IFERROR(COUNTIFS(GANTT!$C$7:$C$200,"&lt;="&amp;$H35,GANTT!$E$7:$E$200,"Done",GANTT!$A$7:$A$200,"&lt;&gt;")/MAX(1,COUNTIFS(GANTT!$E$7:$E$200,"&lt;&gt;Optional",GANTT!$A$7:$A$200,"&lt;&gt;")),0))</f>
        <v>4.1666666666666664E-2</v>
      </c>
    </row>
    <row r="36" spans="8:10" x14ac:dyDescent="0.25">
      <c r="H36" s="18">
        <v>46059</v>
      </c>
      <c r="I36" s="5">
        <f>IF($H36="","",IFERROR(COUNTIFS(GANTT!$C$7:$C$200,"&lt;="&amp;$H36,GANTT!$E$7:$E$200,"&lt;&gt;Optional",GANTT!$A$7:$A$200,"&lt;&gt;")/MAX(1,COUNTIFS(GANTT!$E$7:$E$200,"&lt;&gt;Optional",GANTT!$A$7:$A$200,"&lt;&gt;")),0))</f>
        <v>0.5</v>
      </c>
      <c r="J36" s="5">
        <f>IF($H36="","",IFERROR(COUNTIFS(GANTT!$C$7:$C$200,"&lt;="&amp;$H36,GANTT!$E$7:$E$200,"Done",GANTT!$A$7:$A$200,"&lt;&gt;")/MAX(1,COUNTIFS(GANTT!$E$7:$E$200,"&lt;&gt;Optional",GANTT!$A$7:$A$200,"&lt;&gt;")),0))</f>
        <v>4.1666666666666664E-2</v>
      </c>
    </row>
    <row r="37" spans="8:10" x14ac:dyDescent="0.25">
      <c r="H37" s="18">
        <v>46062</v>
      </c>
      <c r="I37" s="5">
        <f>IF($H37="","",IFERROR(COUNTIFS(GANTT!$C$7:$C$200,"&lt;="&amp;$H37,GANTT!$E$7:$E$200,"&lt;&gt;Optional",GANTT!$A$7:$A$200,"&lt;&gt;")/MAX(1,COUNTIFS(GANTT!$E$7:$E$200,"&lt;&gt;Optional",GANTT!$A$7:$A$200,"&lt;&gt;")),0))</f>
        <v>0.54166666666666663</v>
      </c>
      <c r="J37" s="5">
        <f>IF($H37="","",IFERROR(COUNTIFS(GANTT!$C$7:$C$200,"&lt;="&amp;$H37,GANTT!$E$7:$E$200,"Done",GANTT!$A$7:$A$200,"&lt;&gt;")/MAX(1,COUNTIFS(GANTT!$E$7:$E$200,"&lt;&gt;Optional",GANTT!$A$7:$A$200,"&lt;&gt;")),0))</f>
        <v>4.1666666666666664E-2</v>
      </c>
    </row>
    <row r="38" spans="8:10" x14ac:dyDescent="0.25">
      <c r="H38" s="18">
        <v>46063</v>
      </c>
      <c r="I38" s="5">
        <f>IF($H38="","",IFERROR(COUNTIFS(GANTT!$C$7:$C$200,"&lt;="&amp;$H38,GANTT!$E$7:$E$200,"&lt;&gt;Optional",GANTT!$A$7:$A$200,"&lt;&gt;")/MAX(1,COUNTIFS(GANTT!$E$7:$E$200,"&lt;&gt;Optional",GANTT!$A$7:$A$200,"&lt;&gt;")),0))</f>
        <v>0.58333333333333337</v>
      </c>
      <c r="J38" s="5">
        <f>IF($H38="","",IFERROR(COUNTIFS(GANTT!$C$7:$C$200,"&lt;="&amp;$H38,GANTT!$E$7:$E$200,"Done",GANTT!$A$7:$A$200,"&lt;&gt;")/MAX(1,COUNTIFS(GANTT!$E$7:$E$200,"&lt;&gt;Optional",GANTT!$A$7:$A$200,"&lt;&gt;")),0))</f>
        <v>4.1666666666666664E-2</v>
      </c>
    </row>
    <row r="39" spans="8:10" x14ac:dyDescent="0.25">
      <c r="H39" s="18">
        <v>46064</v>
      </c>
      <c r="I39" s="5">
        <f>IF($H39="","",IFERROR(COUNTIFS(GANTT!$C$7:$C$200,"&lt;="&amp;$H39,GANTT!$E$7:$E$200,"&lt;&gt;Optional",GANTT!$A$7:$A$200,"&lt;&gt;")/MAX(1,COUNTIFS(GANTT!$E$7:$E$200,"&lt;&gt;Optional",GANTT!$A$7:$A$200,"&lt;&gt;")),0))</f>
        <v>0.625</v>
      </c>
      <c r="J39" s="5">
        <f>IF($H39="","",IFERROR(COUNTIFS(GANTT!$C$7:$C$200,"&lt;="&amp;$H39,GANTT!$E$7:$E$200,"Done",GANTT!$A$7:$A$200,"&lt;&gt;")/MAX(1,COUNTIFS(GANTT!$E$7:$E$200,"&lt;&gt;Optional",GANTT!$A$7:$A$200,"&lt;&gt;")),0))</f>
        <v>4.1666666666666664E-2</v>
      </c>
    </row>
    <row r="40" spans="8:10" x14ac:dyDescent="0.25">
      <c r="H40" s="18">
        <v>46065</v>
      </c>
      <c r="I40" s="5">
        <f>IF($H40="","",IFERROR(COUNTIFS(GANTT!$C$7:$C$200,"&lt;="&amp;$H40,GANTT!$E$7:$E$200,"&lt;&gt;Optional",GANTT!$A$7:$A$200,"&lt;&gt;")/MAX(1,COUNTIFS(GANTT!$E$7:$E$200,"&lt;&gt;Optional",GANTT!$A$7:$A$200,"&lt;&gt;")),0))</f>
        <v>0.66666666666666663</v>
      </c>
      <c r="J40" s="5">
        <f>IF($H40="","",IFERROR(COUNTIFS(GANTT!$C$7:$C$200,"&lt;="&amp;$H40,GANTT!$E$7:$E$200,"Done",GANTT!$A$7:$A$200,"&lt;&gt;")/MAX(1,COUNTIFS(GANTT!$E$7:$E$200,"&lt;&gt;Optional",GANTT!$A$7:$A$200,"&lt;&gt;")),0))</f>
        <v>4.1666666666666664E-2</v>
      </c>
    </row>
    <row r="41" spans="8:10" x14ac:dyDescent="0.25">
      <c r="H41" s="18">
        <v>46066</v>
      </c>
      <c r="I41" s="5">
        <f>IF($H41="","",IFERROR(COUNTIFS(GANTT!$C$7:$C$200,"&lt;="&amp;$H41,GANTT!$E$7:$E$200,"&lt;&gt;Optional",GANTT!$A$7:$A$200,"&lt;&gt;")/MAX(1,COUNTIFS(GANTT!$E$7:$E$200,"&lt;&gt;Optional",GANTT!$A$7:$A$200,"&lt;&gt;")),0))</f>
        <v>0.75</v>
      </c>
      <c r="J41" s="5">
        <f>IF($H41="","",IFERROR(COUNTIFS(GANTT!$C$7:$C$200,"&lt;="&amp;$H41,GANTT!$E$7:$E$200,"Done",GANTT!$A$7:$A$200,"&lt;&gt;")/MAX(1,COUNTIFS(GANTT!$E$7:$E$200,"&lt;&gt;Optional",GANTT!$A$7:$A$200,"&lt;&gt;")),0))</f>
        <v>4.1666666666666664E-2</v>
      </c>
    </row>
    <row r="42" spans="8:10" x14ac:dyDescent="0.25">
      <c r="H42" s="18">
        <v>46069</v>
      </c>
      <c r="I42" s="5">
        <f>IF($H42="","",IFERROR(COUNTIFS(GANTT!$C$7:$C$200,"&lt;="&amp;$H42,GANTT!$E$7:$E$200,"&lt;&gt;Optional",GANTT!$A$7:$A$200,"&lt;&gt;")/MAX(1,COUNTIFS(GANTT!$E$7:$E$200,"&lt;&gt;Optional",GANTT!$A$7:$A$200,"&lt;&gt;")),0))</f>
        <v>0.75</v>
      </c>
      <c r="J42" s="5">
        <f>IF($H42="","",IFERROR(COUNTIFS(GANTT!$C$7:$C$200,"&lt;="&amp;$H42,GANTT!$E$7:$E$200,"Done",GANTT!$A$7:$A$200,"&lt;&gt;")/MAX(1,COUNTIFS(GANTT!$E$7:$E$200,"&lt;&gt;Optional",GANTT!$A$7:$A$200,"&lt;&gt;")),0))</f>
        <v>4.1666666666666664E-2</v>
      </c>
    </row>
    <row r="43" spans="8:10" x14ac:dyDescent="0.25">
      <c r="H43" s="18">
        <v>46070</v>
      </c>
      <c r="I43" s="5">
        <f>IF($H43="","",IFERROR(COUNTIFS(GANTT!$C$7:$C$200,"&lt;="&amp;$H43,GANTT!$E$7:$E$200,"&lt;&gt;Optional",GANTT!$A$7:$A$200,"&lt;&gt;")/MAX(1,COUNTIFS(GANTT!$E$7:$E$200,"&lt;&gt;Optional",GANTT!$A$7:$A$200,"&lt;&gt;")),0))</f>
        <v>0.79166666666666663</v>
      </c>
      <c r="J43" s="5">
        <f>IF($H43="","",IFERROR(COUNTIFS(GANTT!$C$7:$C$200,"&lt;="&amp;$H43,GANTT!$E$7:$E$200,"Done",GANTT!$A$7:$A$200,"&lt;&gt;")/MAX(1,COUNTIFS(GANTT!$E$7:$E$200,"&lt;&gt;Optional",GANTT!$A$7:$A$200,"&lt;&gt;")),0))</f>
        <v>4.1666666666666664E-2</v>
      </c>
    </row>
    <row r="44" spans="8:10" x14ac:dyDescent="0.25">
      <c r="H44" s="18">
        <v>46071</v>
      </c>
      <c r="I44" s="5">
        <f>IF($H44="","",IFERROR(COUNTIFS(GANTT!$C$7:$C$200,"&lt;="&amp;$H44,GANTT!$E$7:$E$200,"&lt;&gt;Optional",GANTT!$A$7:$A$200,"&lt;&gt;")/MAX(1,COUNTIFS(GANTT!$E$7:$E$200,"&lt;&gt;Optional",GANTT!$A$7:$A$200,"&lt;&gt;")),0))</f>
        <v>0.875</v>
      </c>
      <c r="J44" s="5">
        <f>IF($H44="","",IFERROR(COUNTIFS(GANTT!$C$7:$C$200,"&lt;="&amp;$H44,GANTT!$E$7:$E$200,"Done",GANTT!$A$7:$A$200,"&lt;&gt;")/MAX(1,COUNTIFS(GANTT!$E$7:$E$200,"&lt;&gt;Optional",GANTT!$A$7:$A$200,"&lt;&gt;")),0))</f>
        <v>4.1666666666666664E-2</v>
      </c>
    </row>
    <row r="45" spans="8:10" x14ac:dyDescent="0.25">
      <c r="H45" s="18">
        <v>46072</v>
      </c>
      <c r="I45" s="5">
        <f>IF($H45="","",IFERROR(COUNTIFS(GANTT!$C$7:$C$200,"&lt;="&amp;$H45,GANTT!$E$7:$E$200,"&lt;&gt;Optional",GANTT!$A$7:$A$200,"&lt;&gt;")/MAX(1,COUNTIFS(GANTT!$E$7:$E$200,"&lt;&gt;Optional",GANTT!$A$7:$A$200,"&lt;&gt;")),0))</f>
        <v>0.95833333333333337</v>
      </c>
      <c r="J45" s="5">
        <f>IF($H45="","",IFERROR(COUNTIFS(GANTT!$C$7:$C$200,"&lt;="&amp;$H45,GANTT!$E$7:$E$200,"Done",GANTT!$A$7:$A$200,"&lt;&gt;")/MAX(1,COUNTIFS(GANTT!$E$7:$E$200,"&lt;&gt;Optional",GANTT!$A$7:$A$200,"&lt;&gt;")),0))</f>
        <v>4.1666666666666664E-2</v>
      </c>
    </row>
    <row r="46" spans="8:10" x14ac:dyDescent="0.25">
      <c r="H46" s="18">
        <v>46073</v>
      </c>
      <c r="I46" s="5">
        <f>IF($H46="","",IFERROR(COUNTIFS(GANTT!$C$7:$C$200,"&lt;="&amp;$H46,GANTT!$E$7:$E$200,"&lt;&gt;Optional",GANTT!$A$7:$A$200,"&lt;&gt;")/MAX(1,COUNTIFS(GANTT!$E$7:$E$200,"&lt;&gt;Optional",GANTT!$A$7:$A$200,"&lt;&gt;")),0))</f>
        <v>1</v>
      </c>
      <c r="J46" s="5">
        <f>IF($H46="","",IFERROR(COUNTIFS(GANTT!$C$7:$C$200,"&lt;="&amp;$H46,GANTT!$E$7:$E$200,"Done",GANTT!$A$7:$A$200,"&lt;&gt;")/MAX(1,COUNTIFS(GANTT!$E$7:$E$200,"&lt;&gt;Optional",GANTT!$A$7:$A$200,"&lt;&gt;")),0))</f>
        <v>4.1666666666666664E-2</v>
      </c>
    </row>
  </sheetData>
  <mergeCells count="4">
    <mergeCell ref="A12:D12"/>
    <mergeCell ref="A3:N3"/>
    <mergeCell ref="A2:N2"/>
    <mergeCell ref="A1:N1"/>
  </mergeCells>
  <conditionalFormatting sqref="B5">
    <cfRule type="expression" dxfId="40" priority="7" stopIfTrue="1">
      <formula>B5="Not Started"</formula>
    </cfRule>
    <cfRule type="expression" dxfId="39" priority="8" stopIfTrue="1">
      <formula>B5="In Progress"</formula>
    </cfRule>
    <cfRule type="expression" dxfId="38" priority="9" stopIfTrue="1">
      <formula>B5="Done"</formula>
    </cfRule>
    <cfRule type="expression" dxfId="37" priority="10" stopIfTrue="1">
      <formula>B5="Blocked"</formula>
    </cfRule>
    <cfRule type="expression" dxfId="36" priority="11" stopIfTrue="1">
      <formula>B5="Optional"</formula>
    </cfRule>
  </conditionalFormatting>
  <conditionalFormatting sqref="B14:B20">
    <cfRule type="expression" dxfId="35" priority="2" stopIfTrue="1">
      <formula>B14="Not Started"</formula>
    </cfRule>
    <cfRule type="expression" dxfId="34" priority="3" stopIfTrue="1">
      <formula>B14="In Progress"</formula>
    </cfRule>
    <cfRule type="expression" dxfId="33" priority="4" stopIfTrue="1">
      <formula>B14="Done"</formula>
    </cfRule>
    <cfRule type="expression" dxfId="32" priority="5" stopIfTrue="1">
      <formula>B14="Blocked"</formula>
    </cfRule>
    <cfRule type="expression" dxfId="31" priority="6" stopIfTrue="1">
      <formula>B14="Optional"</formula>
    </cfRule>
  </conditionalFormatting>
  <conditionalFormatting sqref="D14:D20">
    <cfRule type="dataBar" priority="1">
      <dataBar>
        <cfvo type="num" val="0"/>
        <cfvo type="num" val="1"/>
        <color rgb="FF5C3D99"/>
      </dataBar>
    </cfRule>
  </conditionalFormatting>
  <dataValidations count="3">
    <dataValidation type="list" allowBlank="1" showDropDown="1" errorTitle="Invalid entry" error="Select a value from the list." promptTitle="Select" prompt="Choose from dropdown." sqref="B5 B14:B20" xr:uid="{00000000-0002-0000-0000-000000000000}">
      <formula1>GlobalStatusList</formula1>
    </dataValidation>
    <dataValidation type="decimal" error="Enter a weight between 0 and 1." sqref="F5:F7" xr:uid="{00000000-0002-0000-0000-000002000000}">
      <formula1>0</formula1>
      <formula2>1</formula2>
    </dataValidation>
    <dataValidation type="decimal" allowBlank="1" error="Enter a number 0–100." sqref="C14:C20" xr:uid="{00000000-0002-0000-0000-000003000000}">
      <formula1>0</formula1>
      <formula2>100</formula2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1"/>
  <sheetViews>
    <sheetView workbookViewId="0">
      <pane xSplit="7" ySplit="6" topLeftCell="H7" activePane="bottomRight" state="frozen"/>
      <selection pane="topRight"/>
      <selection pane="bottomLeft"/>
      <selection pane="bottomRight" activeCell="E7" sqref="E7"/>
    </sheetView>
  </sheetViews>
  <sheetFormatPr defaultRowHeight="15" x14ac:dyDescent="0.25"/>
  <cols>
    <col min="1" max="1" width="50.140625" bestFit="1" customWidth="1"/>
    <col min="2" max="3" width="9.7109375" bestFit="1" customWidth="1"/>
    <col min="4" max="4" width="13.42578125" bestFit="1" customWidth="1"/>
    <col min="5" max="5" width="11.140625" bestFit="1" customWidth="1"/>
    <col min="6" max="6" width="11.7109375" bestFit="1" customWidth="1"/>
    <col min="7" max="7" width="16.140625" bestFit="1" customWidth="1"/>
    <col min="8" max="8" width="6" bestFit="1" customWidth="1"/>
    <col min="9" max="9" width="8.7109375" bestFit="1" customWidth="1"/>
    <col min="10" max="17" width="6" bestFit="1" customWidth="1"/>
    <col min="18" max="32" width="6.42578125" bestFit="1" customWidth="1"/>
  </cols>
  <sheetData>
    <row r="1" spans="1:34" ht="33.950000000000003" customHeight="1" x14ac:dyDescent="0.25">
      <c r="A1" s="38" t="s">
        <v>52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</row>
    <row r="2" spans="1:34" ht="20.100000000000001" customHeight="1" x14ac:dyDescent="0.25">
      <c r="A2" s="37" t="s">
        <v>53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</row>
    <row r="3" spans="1:34" ht="30" x14ac:dyDescent="0.25">
      <c r="A3" s="1" t="s">
        <v>54</v>
      </c>
      <c r="B3" s="19">
        <f>IFERROR(AVERAGEIFS($F$7:$F$200,$A$7:$A$200,"&lt;&gt;",$E$7:$E$200,"&lt;&gt;Optional"),0)</f>
        <v>4.1666666666666664E-2</v>
      </c>
      <c r="E3" s="20" t="s">
        <v>55</v>
      </c>
      <c r="F3" s="21">
        <f>B3</f>
        <v>4.1666666666666664E-2</v>
      </c>
      <c r="I3" s="13" t="s">
        <v>24</v>
      </c>
      <c r="J3" s="13" t="s">
        <v>29</v>
      </c>
    </row>
    <row r="4" spans="1:34" ht="75" x14ac:dyDescent="0.25">
      <c r="I4" s="14" t="s">
        <v>4</v>
      </c>
      <c r="J4" s="15">
        <f>COUNTIF($E$7:$E$200,"Not Started")</f>
        <v>23</v>
      </c>
    </row>
    <row r="5" spans="1:34" ht="15.95" customHeight="1" x14ac:dyDescent="0.25">
      <c r="A5" s="39" t="s">
        <v>56</v>
      </c>
      <c r="B5" s="35"/>
      <c r="C5" s="35"/>
      <c r="D5" s="35"/>
      <c r="E5" s="35"/>
      <c r="F5" s="35"/>
      <c r="G5" s="35"/>
      <c r="H5" s="22" t="s">
        <v>57</v>
      </c>
      <c r="I5" s="23" t="s">
        <v>34</v>
      </c>
      <c r="J5" s="22">
        <f>COUNTIF($E$7:$E$200,"In Progress")</f>
        <v>0</v>
      </c>
      <c r="K5" s="22" t="s">
        <v>58</v>
      </c>
      <c r="L5" s="22" t="s">
        <v>59</v>
      </c>
      <c r="M5" s="22" t="s">
        <v>57</v>
      </c>
      <c r="N5" s="22" t="s">
        <v>60</v>
      </c>
      <c r="O5" s="22" t="s">
        <v>61</v>
      </c>
      <c r="P5" s="22" t="s">
        <v>58</v>
      </c>
      <c r="Q5" s="22" t="s">
        <v>59</v>
      </c>
      <c r="R5" s="22" t="s">
        <v>57</v>
      </c>
      <c r="S5" s="22" t="s">
        <v>60</v>
      </c>
      <c r="T5" s="22" t="s">
        <v>61</v>
      </c>
      <c r="U5" s="22" t="s">
        <v>58</v>
      </c>
      <c r="V5" s="22" t="s">
        <v>59</v>
      </c>
      <c r="W5" s="22" t="s">
        <v>57</v>
      </c>
      <c r="X5" s="22" t="s">
        <v>60</v>
      </c>
      <c r="Y5" s="22" t="s">
        <v>61</v>
      </c>
      <c r="Z5" s="22" t="s">
        <v>58</v>
      </c>
      <c r="AA5" s="22" t="s">
        <v>59</v>
      </c>
      <c r="AB5" s="22" t="s">
        <v>57</v>
      </c>
      <c r="AC5" s="22" t="s">
        <v>60</v>
      </c>
      <c r="AD5" s="22" t="s">
        <v>61</v>
      </c>
      <c r="AE5" s="22" t="s">
        <v>58</v>
      </c>
      <c r="AF5" s="22" t="s">
        <v>59</v>
      </c>
    </row>
    <row r="6" spans="1:34" ht="20.100000000000001" customHeight="1" x14ac:dyDescent="0.25">
      <c r="A6" s="12" t="s">
        <v>62</v>
      </c>
      <c r="B6" s="12" t="s">
        <v>63</v>
      </c>
      <c r="C6" s="12" t="s">
        <v>64</v>
      </c>
      <c r="D6" s="12" t="s">
        <v>65</v>
      </c>
      <c r="E6" s="12" t="s">
        <v>24</v>
      </c>
      <c r="F6" s="12" t="s">
        <v>66</v>
      </c>
      <c r="G6" s="12" t="s">
        <v>67</v>
      </c>
      <c r="H6" s="24">
        <v>46041</v>
      </c>
      <c r="I6" s="25" t="s">
        <v>37</v>
      </c>
      <c r="J6" s="24">
        <f>COUNTIF($E$7:$E$200,"Done")</f>
        <v>1</v>
      </c>
      <c r="K6" s="24">
        <v>46044</v>
      </c>
      <c r="L6" s="24">
        <v>46045</v>
      </c>
      <c r="M6" s="24">
        <v>46048</v>
      </c>
      <c r="N6" s="24">
        <v>46049</v>
      </c>
      <c r="O6" s="24">
        <v>46050</v>
      </c>
      <c r="P6" s="24">
        <v>46051</v>
      </c>
      <c r="Q6" s="24">
        <v>46052</v>
      </c>
      <c r="R6" s="24">
        <v>46055</v>
      </c>
      <c r="S6" s="24">
        <v>46056</v>
      </c>
      <c r="T6" s="24">
        <v>46057</v>
      </c>
      <c r="U6" s="24">
        <v>46058</v>
      </c>
      <c r="V6" s="24">
        <v>46059</v>
      </c>
      <c r="W6" s="24">
        <v>46062</v>
      </c>
      <c r="X6" s="24">
        <v>46063</v>
      </c>
      <c r="Y6" s="24">
        <v>46064</v>
      </c>
      <c r="Z6" s="24">
        <v>46065</v>
      </c>
      <c r="AA6" s="24">
        <v>46066</v>
      </c>
      <c r="AB6" s="24">
        <v>46069</v>
      </c>
      <c r="AC6" s="24">
        <v>46070</v>
      </c>
      <c r="AD6" s="24">
        <v>46071</v>
      </c>
      <c r="AE6" s="24">
        <v>46072</v>
      </c>
      <c r="AF6" s="24">
        <v>46073</v>
      </c>
    </row>
    <row r="7" spans="1:34" ht="18" customHeight="1" x14ac:dyDescent="0.25">
      <c r="A7" s="14" t="s">
        <v>68</v>
      </c>
      <c r="B7" s="16">
        <v>46041</v>
      </c>
      <c r="C7" s="16">
        <v>46041</v>
      </c>
      <c r="D7" s="15">
        <f>IF(OR($B7="",$C7=""),"",NETWORKDAYS($B7,$C7))</f>
        <v>1</v>
      </c>
      <c r="E7" s="15" t="s">
        <v>37</v>
      </c>
      <c r="F7" s="5">
        <f>IF($E7="",0,VLOOKUP($E7,_Lists!$A$2:$B$6,2,FALSE)/100)</f>
        <v>1</v>
      </c>
      <c r="G7" s="14"/>
      <c r="H7" s="26">
        <f>IF(AND(H$6&gt;=$B7,H$6&lt;=$C7),1,"")</f>
        <v>1</v>
      </c>
      <c r="I7" s="27" t="s">
        <v>39</v>
      </c>
      <c r="J7" s="26">
        <f>COUNTIF($E$7:$E$200,"Blocked")</f>
        <v>0</v>
      </c>
      <c r="K7" s="26" t="str">
        <f>IF(AND(K$6&gt;=$B7,K$6&lt;=$C7),1,"")</f>
        <v/>
      </c>
      <c r="L7" s="26" t="str">
        <f>IF(AND(L$6&gt;=$B7,L$6&lt;=$C7),1,"")</f>
        <v/>
      </c>
      <c r="M7" s="26" t="str">
        <f>IF(AND(M$6&gt;=$B7,M$6&lt;=$C7),1,"")</f>
        <v/>
      </c>
      <c r="N7" s="26" t="str">
        <f>IF(AND(N$6&gt;=$B7,N$6&lt;=$C7),1,"")</f>
        <v/>
      </c>
      <c r="O7" s="26" t="str">
        <f>IF(AND(O$6&gt;=$B7,O$6&lt;=$C7),1,"")</f>
        <v/>
      </c>
      <c r="P7" s="26" t="str">
        <f>IF(AND(P$6&gt;=$B7,P$6&lt;=$C7),1,"")</f>
        <v/>
      </c>
      <c r="Q7" s="26" t="str">
        <f>IF(AND(Q$6&gt;=$B7,Q$6&lt;=$C7),1,"")</f>
        <v/>
      </c>
      <c r="R7" s="26" t="str">
        <f>IF(AND(R$6&gt;=$B7,R$6&lt;=$C7),1,"")</f>
        <v/>
      </c>
      <c r="S7" s="26" t="str">
        <f>IF(AND(S$6&gt;=$B7,S$6&lt;=$C7),1,"")</f>
        <v/>
      </c>
      <c r="T7" s="26" t="str">
        <f>IF(AND(T$6&gt;=$B7,T$6&lt;=$C7),1,"")</f>
        <v/>
      </c>
      <c r="U7" s="26" t="str">
        <f>IF(AND(U$6&gt;=$B7,U$6&lt;=$C7),1,"")</f>
        <v/>
      </c>
      <c r="V7" s="26" t="str">
        <f>IF(AND(V$6&gt;=$B7,V$6&lt;=$C7),1,"")</f>
        <v/>
      </c>
      <c r="W7" s="26" t="str">
        <f>IF(AND(W$6&gt;=$B7,W$6&lt;=$C7),1,"")</f>
        <v/>
      </c>
      <c r="X7" s="26" t="str">
        <f>IF(AND(X$6&gt;=$B7,X$6&lt;=$C7),1,"")</f>
        <v/>
      </c>
      <c r="Y7" s="26" t="str">
        <f>IF(AND(Y$6&gt;=$B7,Y$6&lt;=$C7),1,"")</f>
        <v/>
      </c>
      <c r="Z7" s="26" t="str">
        <f>IF(AND(Z$6&gt;=$B7,Z$6&lt;=$C7),1,"")</f>
        <v/>
      </c>
      <c r="AA7" s="26" t="str">
        <f>IF(AND(AA$6&gt;=$B7,AA$6&lt;=$C7),1,"")</f>
        <v/>
      </c>
      <c r="AB7" s="26" t="str">
        <f>IF(AND(AB$6&gt;=$B7,AB$6&lt;=$C7),1,"")</f>
        <v/>
      </c>
      <c r="AC7" s="26" t="str">
        <f>IF(AND(AC$6&gt;=$B7,AC$6&lt;=$C7),1,"")</f>
        <v/>
      </c>
      <c r="AD7" s="26" t="str">
        <f>IF(AND(AD$6&gt;=$B7,AD$6&lt;=$C7),1,"")</f>
        <v/>
      </c>
      <c r="AE7" s="26" t="str">
        <f>IF(AND(AE$6&gt;=$B7,AE$6&lt;=$C7),1,"")</f>
        <v/>
      </c>
      <c r="AF7" s="26" t="str">
        <f>IF(AND(AF$6&gt;=$B7,AF$6&lt;=$C7),1,"")</f>
        <v/>
      </c>
    </row>
    <row r="8" spans="1:34" ht="18" customHeight="1" x14ac:dyDescent="0.25">
      <c r="A8" s="14" t="s">
        <v>69</v>
      </c>
      <c r="B8" s="16">
        <v>46041</v>
      </c>
      <c r="C8" s="16">
        <v>46042</v>
      </c>
      <c r="D8" s="15">
        <f>IF(OR($B8="",$C8=""),"",NETWORKDAYS($B8,$C8))</f>
        <v>2</v>
      </c>
      <c r="E8" s="15" t="s">
        <v>4</v>
      </c>
      <c r="F8" s="5">
        <f>IF($E8="",0,VLOOKUP($E8,_Lists!$A$2:$B$6,2,FALSE)/100)</f>
        <v>0</v>
      </c>
      <c r="G8" s="14"/>
      <c r="H8" s="26">
        <f>IF(AND(H$6&gt;=$B8,H$6&lt;=$C8),1,"")</f>
        <v>1</v>
      </c>
      <c r="I8" s="27" t="s">
        <v>43</v>
      </c>
      <c r="J8" s="26">
        <f>COUNTIF($E$7:$E$200,"Optional")</f>
        <v>1</v>
      </c>
      <c r="K8" s="26" t="str">
        <f>IF(AND(K$6&gt;=$B8,K$6&lt;=$C8),1,"")</f>
        <v/>
      </c>
      <c r="L8" s="26" t="str">
        <f>IF(AND(L$6&gt;=$B8,L$6&lt;=$C8),1,"")</f>
        <v/>
      </c>
      <c r="M8" s="26" t="str">
        <f>IF(AND(M$6&gt;=$B8,M$6&lt;=$C8),1,"")</f>
        <v/>
      </c>
      <c r="N8" s="26" t="str">
        <f>IF(AND(N$6&gt;=$B8,N$6&lt;=$C8),1,"")</f>
        <v/>
      </c>
      <c r="O8" s="26" t="str">
        <f>IF(AND(O$6&gt;=$B8,O$6&lt;=$C8),1,"")</f>
        <v/>
      </c>
      <c r="P8" s="26" t="str">
        <f>IF(AND(P$6&gt;=$B8,P$6&lt;=$C8),1,"")</f>
        <v/>
      </c>
      <c r="Q8" s="26" t="str">
        <f>IF(AND(Q$6&gt;=$B8,Q$6&lt;=$C8),1,"")</f>
        <v/>
      </c>
      <c r="R8" s="26" t="str">
        <f>IF(AND(R$6&gt;=$B8,R$6&lt;=$C8),1,"")</f>
        <v/>
      </c>
      <c r="S8" s="26" t="str">
        <f>IF(AND(S$6&gt;=$B8,S$6&lt;=$C8),1,"")</f>
        <v/>
      </c>
      <c r="T8" s="26" t="str">
        <f>IF(AND(T$6&gt;=$B8,T$6&lt;=$C8),1,"")</f>
        <v/>
      </c>
      <c r="U8" s="26" t="str">
        <f>IF(AND(U$6&gt;=$B8,U$6&lt;=$C8),1,"")</f>
        <v/>
      </c>
      <c r="V8" s="26" t="str">
        <f>IF(AND(V$6&gt;=$B8,V$6&lt;=$C8),1,"")</f>
        <v/>
      </c>
      <c r="W8" s="26" t="str">
        <f>IF(AND(W$6&gt;=$B8,W$6&lt;=$C8),1,"")</f>
        <v/>
      </c>
      <c r="X8" s="26" t="str">
        <f>IF(AND(X$6&gt;=$B8,X$6&lt;=$C8),1,"")</f>
        <v/>
      </c>
      <c r="Y8" s="26" t="str">
        <f>IF(AND(Y$6&gt;=$B8,Y$6&lt;=$C8),1,"")</f>
        <v/>
      </c>
      <c r="Z8" s="26" t="str">
        <f>IF(AND(Z$6&gt;=$B8,Z$6&lt;=$C8),1,"")</f>
        <v/>
      </c>
      <c r="AA8" s="26" t="str">
        <f>IF(AND(AA$6&gt;=$B8,AA$6&lt;=$C8),1,"")</f>
        <v/>
      </c>
      <c r="AB8" s="26" t="str">
        <f>IF(AND(AB$6&gt;=$B8,AB$6&lt;=$C8),1,"")</f>
        <v/>
      </c>
      <c r="AC8" s="26" t="str">
        <f>IF(AND(AC$6&gt;=$B8,AC$6&lt;=$C8),1,"")</f>
        <v/>
      </c>
      <c r="AD8" s="26" t="str">
        <f>IF(AND(AD$6&gt;=$B8,AD$6&lt;=$C8),1,"")</f>
        <v/>
      </c>
      <c r="AE8" s="26" t="str">
        <f>IF(AND(AE$6&gt;=$B8,AE$6&lt;=$C8),1,"")</f>
        <v/>
      </c>
      <c r="AF8" s="26" t="str">
        <f>IF(AND(AF$6&gt;=$B8,AF$6&lt;=$C8),1,"")</f>
        <v/>
      </c>
    </row>
    <row r="9" spans="1:34" ht="18" customHeight="1" x14ac:dyDescent="0.25">
      <c r="A9" s="14" t="s">
        <v>70</v>
      </c>
      <c r="B9" s="16">
        <v>46042</v>
      </c>
      <c r="C9" s="16">
        <v>46043</v>
      </c>
      <c r="D9" s="15">
        <f>IF(OR($B9="",$C9=""),"",NETWORKDAYS($B9,$C9))</f>
        <v>2</v>
      </c>
      <c r="E9" s="15" t="s">
        <v>4</v>
      </c>
      <c r="F9" s="5">
        <f>IF($E9="",0,VLOOKUP($E9,_Lists!$A$2:$B$6,2,FALSE)/100)</f>
        <v>0</v>
      </c>
      <c r="G9" s="14"/>
      <c r="H9" s="26" t="str">
        <f>IF(AND(H$6&gt;=$B9,H$6&lt;=$C9),1,"")</f>
        <v/>
      </c>
      <c r="I9" s="26" t="str">
        <f>IF(AND(I$6&gt;=$B9,I$6&lt;=$C9),1,"")</f>
        <v/>
      </c>
      <c r="J9" s="26" t="str">
        <f>IF(AND(J$6&gt;=$B9,J$6&lt;=$C9),1,"")</f>
        <v/>
      </c>
      <c r="K9" s="26" t="str">
        <f>IF(AND(K$6&gt;=$B9,K$6&lt;=$C9),1,"")</f>
        <v/>
      </c>
      <c r="L9" s="26" t="str">
        <f>IF(AND(L$6&gt;=$B9,L$6&lt;=$C9),1,"")</f>
        <v/>
      </c>
      <c r="M9" s="26" t="str">
        <f>IF(AND(M$6&gt;=$B9,M$6&lt;=$C9),1,"")</f>
        <v/>
      </c>
      <c r="N9" s="26" t="str">
        <f>IF(AND(N$6&gt;=$B9,N$6&lt;=$C9),1,"")</f>
        <v/>
      </c>
      <c r="O9" s="26" t="str">
        <f>IF(AND(O$6&gt;=$B9,O$6&lt;=$C9),1,"")</f>
        <v/>
      </c>
      <c r="P9" s="26" t="str">
        <f>IF(AND(P$6&gt;=$B9,P$6&lt;=$C9),1,"")</f>
        <v/>
      </c>
      <c r="Q9" s="26" t="str">
        <f>IF(AND(Q$6&gt;=$B9,Q$6&lt;=$C9),1,"")</f>
        <v/>
      </c>
      <c r="R9" s="26" t="str">
        <f>IF(AND(R$6&gt;=$B9,R$6&lt;=$C9),1,"")</f>
        <v/>
      </c>
      <c r="S9" s="26" t="str">
        <f>IF(AND(S$6&gt;=$B9,S$6&lt;=$C9),1,"")</f>
        <v/>
      </c>
      <c r="T9" s="26" t="str">
        <f>IF(AND(T$6&gt;=$B9,T$6&lt;=$C9),1,"")</f>
        <v/>
      </c>
      <c r="U9" s="26" t="str">
        <f>IF(AND(U$6&gt;=$B9,U$6&lt;=$C9),1,"")</f>
        <v/>
      </c>
      <c r="V9" s="26" t="str">
        <f>IF(AND(V$6&gt;=$B9,V$6&lt;=$C9),1,"")</f>
        <v/>
      </c>
      <c r="W9" s="26" t="str">
        <f>IF(AND(W$6&gt;=$B9,W$6&lt;=$C9),1,"")</f>
        <v/>
      </c>
      <c r="X9" s="26" t="str">
        <f>IF(AND(X$6&gt;=$B9,X$6&lt;=$C9),1,"")</f>
        <v/>
      </c>
      <c r="Y9" s="26" t="str">
        <f>IF(AND(Y$6&gt;=$B9,Y$6&lt;=$C9),1,"")</f>
        <v/>
      </c>
      <c r="Z9" s="26" t="str">
        <f>IF(AND(Z$6&gt;=$B9,Z$6&lt;=$C9),1,"")</f>
        <v/>
      </c>
      <c r="AA9" s="26" t="str">
        <f>IF(AND(AA$6&gt;=$B9,AA$6&lt;=$C9),1,"")</f>
        <v/>
      </c>
      <c r="AB9" s="26" t="str">
        <f>IF(AND(AB$6&gt;=$B9,AB$6&lt;=$C9),1,"")</f>
        <v/>
      </c>
      <c r="AC9" s="26" t="str">
        <f>IF(AND(AC$6&gt;=$B9,AC$6&lt;=$C9),1,"")</f>
        <v/>
      </c>
      <c r="AD9" s="26" t="str">
        <f>IF(AND(AD$6&gt;=$B9,AD$6&lt;=$C9),1,"")</f>
        <v/>
      </c>
      <c r="AE9" s="26" t="str">
        <f>IF(AND(AE$6&gt;=$B9,AE$6&lt;=$C9),1,"")</f>
        <v/>
      </c>
      <c r="AF9" s="26" t="str">
        <f>IF(AND(AF$6&gt;=$B9,AF$6&lt;=$C9),1,"")</f>
        <v/>
      </c>
    </row>
    <row r="10" spans="1:34" ht="18" customHeight="1" x14ac:dyDescent="0.25">
      <c r="A10" s="14" t="s">
        <v>71</v>
      </c>
      <c r="B10" s="16">
        <v>46043</v>
      </c>
      <c r="C10" s="16">
        <v>46044</v>
      </c>
      <c r="D10" s="15">
        <f>IF(OR($B10="",$C10=""),"",NETWORKDAYS($B10,$C10))</f>
        <v>2</v>
      </c>
      <c r="E10" s="15" t="s">
        <v>4</v>
      </c>
      <c r="F10" s="5">
        <f>IF($E10="",0,VLOOKUP($E10,_Lists!$A$2:$B$6,2,FALSE)/100)</f>
        <v>0</v>
      </c>
      <c r="G10" s="14"/>
      <c r="H10" s="26" t="str">
        <f>IF(AND(H$6&gt;=$B10,H$6&lt;=$C10),1,"")</f>
        <v/>
      </c>
      <c r="I10" s="26" t="str">
        <f>IF(AND(I$6&gt;=$B10,I$6&lt;=$C10),1,"")</f>
        <v/>
      </c>
      <c r="J10" s="26" t="str">
        <f>IF(AND(J$6&gt;=$B10,J$6&lt;=$C10),1,"")</f>
        <v/>
      </c>
      <c r="K10" s="26">
        <f>IF(AND(K$6&gt;=$B10,K$6&lt;=$C10),1,"")</f>
        <v>1</v>
      </c>
      <c r="L10" s="26" t="str">
        <f>IF(AND(L$6&gt;=$B10,L$6&lt;=$C10),1,"")</f>
        <v/>
      </c>
      <c r="M10" s="26" t="str">
        <f>IF(AND(M$6&gt;=$B10,M$6&lt;=$C10),1,"")</f>
        <v/>
      </c>
      <c r="N10" s="26" t="str">
        <f>IF(AND(N$6&gt;=$B10,N$6&lt;=$C10),1,"")</f>
        <v/>
      </c>
      <c r="O10" s="26" t="str">
        <f>IF(AND(O$6&gt;=$B10,O$6&lt;=$C10),1,"")</f>
        <v/>
      </c>
      <c r="P10" s="26" t="str">
        <f>IF(AND(P$6&gt;=$B10,P$6&lt;=$C10),1,"")</f>
        <v/>
      </c>
      <c r="Q10" s="26" t="str">
        <f>IF(AND(Q$6&gt;=$B10,Q$6&lt;=$C10),1,"")</f>
        <v/>
      </c>
      <c r="R10" s="26" t="str">
        <f>IF(AND(R$6&gt;=$B10,R$6&lt;=$C10),1,"")</f>
        <v/>
      </c>
      <c r="S10" s="26" t="str">
        <f>IF(AND(S$6&gt;=$B10,S$6&lt;=$C10),1,"")</f>
        <v/>
      </c>
      <c r="T10" s="26" t="str">
        <f>IF(AND(T$6&gt;=$B10,T$6&lt;=$C10),1,"")</f>
        <v/>
      </c>
      <c r="U10" s="26" t="str">
        <f>IF(AND(U$6&gt;=$B10,U$6&lt;=$C10),1,"")</f>
        <v/>
      </c>
      <c r="V10" s="26" t="str">
        <f>IF(AND(V$6&gt;=$B10,V$6&lt;=$C10),1,"")</f>
        <v/>
      </c>
      <c r="W10" s="26" t="str">
        <f>IF(AND(W$6&gt;=$B10,W$6&lt;=$C10),1,"")</f>
        <v/>
      </c>
      <c r="X10" s="26" t="str">
        <f>IF(AND(X$6&gt;=$B10,X$6&lt;=$C10),1,"")</f>
        <v/>
      </c>
      <c r="Y10" s="26" t="str">
        <f>IF(AND(Y$6&gt;=$B10,Y$6&lt;=$C10),1,"")</f>
        <v/>
      </c>
      <c r="Z10" s="26" t="str">
        <f>IF(AND(Z$6&gt;=$B10,Z$6&lt;=$C10),1,"")</f>
        <v/>
      </c>
      <c r="AA10" s="26" t="str">
        <f>IF(AND(AA$6&gt;=$B10,AA$6&lt;=$C10),1,"")</f>
        <v/>
      </c>
      <c r="AB10" s="26" t="str">
        <f>IF(AND(AB$6&gt;=$B10,AB$6&lt;=$C10),1,"")</f>
        <v/>
      </c>
      <c r="AC10" s="26" t="str">
        <f>IF(AND(AC$6&gt;=$B10,AC$6&lt;=$C10),1,"")</f>
        <v/>
      </c>
      <c r="AD10" s="26" t="str">
        <f>IF(AND(AD$6&gt;=$B10,AD$6&lt;=$C10),1,"")</f>
        <v/>
      </c>
      <c r="AE10" s="26" t="str">
        <f>IF(AND(AE$6&gt;=$B10,AE$6&lt;=$C10),1,"")</f>
        <v/>
      </c>
      <c r="AF10" s="26" t="str">
        <f>IF(AND(AF$6&gt;=$B10,AF$6&lt;=$C10),1,"")</f>
        <v/>
      </c>
    </row>
    <row r="11" spans="1:34" ht="18" customHeight="1" x14ac:dyDescent="0.25">
      <c r="A11" s="14" t="s">
        <v>72</v>
      </c>
      <c r="B11" s="16">
        <v>46044</v>
      </c>
      <c r="C11" s="16">
        <v>46045</v>
      </c>
      <c r="D11" s="15">
        <f>IF(OR($B11="",$C11=""),"",NETWORKDAYS($B11,$C11))</f>
        <v>2</v>
      </c>
      <c r="E11" s="15" t="s">
        <v>4</v>
      </c>
      <c r="F11" s="5">
        <f>IF($E11="",0,VLOOKUP($E11,_Lists!$A$2:$B$6,2,FALSE)/100)</f>
        <v>0</v>
      </c>
      <c r="G11" s="14"/>
      <c r="H11" s="26" t="str">
        <f>IF(AND(H$6&gt;=$B11,H$6&lt;=$C11),1,"")</f>
        <v/>
      </c>
      <c r="I11" s="26" t="str">
        <f>IF(AND(I$6&gt;=$B11,I$6&lt;=$C11),1,"")</f>
        <v/>
      </c>
      <c r="J11" s="26" t="str">
        <f>IF(AND(J$6&gt;=$B11,J$6&lt;=$C11),1,"")</f>
        <v/>
      </c>
      <c r="K11" s="26">
        <f>IF(AND(K$6&gt;=$B11,K$6&lt;=$C11),1,"")</f>
        <v>1</v>
      </c>
      <c r="L11" s="26">
        <f>IF(AND(L$6&gt;=$B11,L$6&lt;=$C11),1,"")</f>
        <v>1</v>
      </c>
      <c r="M11" s="26" t="str">
        <f>IF(AND(M$6&gt;=$B11,M$6&lt;=$C11),1,"")</f>
        <v/>
      </c>
      <c r="N11" s="26" t="str">
        <f>IF(AND(N$6&gt;=$B11,N$6&lt;=$C11),1,"")</f>
        <v/>
      </c>
      <c r="O11" s="26" t="str">
        <f>IF(AND(O$6&gt;=$B11,O$6&lt;=$C11),1,"")</f>
        <v/>
      </c>
      <c r="P11" s="26" t="str">
        <f>IF(AND(P$6&gt;=$B11,P$6&lt;=$C11),1,"")</f>
        <v/>
      </c>
      <c r="Q11" s="26" t="str">
        <f>IF(AND(Q$6&gt;=$B11,Q$6&lt;=$C11),1,"")</f>
        <v/>
      </c>
      <c r="R11" s="26" t="str">
        <f>IF(AND(R$6&gt;=$B11,R$6&lt;=$C11),1,"")</f>
        <v/>
      </c>
      <c r="S11" s="26" t="str">
        <f>IF(AND(S$6&gt;=$B11,S$6&lt;=$C11),1,"")</f>
        <v/>
      </c>
      <c r="T11" s="26" t="str">
        <f>IF(AND(T$6&gt;=$B11,T$6&lt;=$C11),1,"")</f>
        <v/>
      </c>
      <c r="U11" s="26" t="str">
        <f>IF(AND(U$6&gt;=$B11,U$6&lt;=$C11),1,"")</f>
        <v/>
      </c>
      <c r="V11" s="26" t="str">
        <f>IF(AND(V$6&gt;=$B11,V$6&lt;=$C11),1,"")</f>
        <v/>
      </c>
      <c r="W11" s="26" t="str">
        <f>IF(AND(W$6&gt;=$B11,W$6&lt;=$C11),1,"")</f>
        <v/>
      </c>
      <c r="X11" s="26" t="str">
        <f>IF(AND(X$6&gt;=$B11,X$6&lt;=$C11),1,"")</f>
        <v/>
      </c>
      <c r="Y11" s="26" t="str">
        <f>IF(AND(Y$6&gt;=$B11,Y$6&lt;=$C11),1,"")</f>
        <v/>
      </c>
      <c r="Z11" s="26" t="str">
        <f>IF(AND(Z$6&gt;=$B11,Z$6&lt;=$C11),1,"")</f>
        <v/>
      </c>
      <c r="AA11" s="26" t="str">
        <f>IF(AND(AA$6&gt;=$B11,AA$6&lt;=$C11),1,"")</f>
        <v/>
      </c>
      <c r="AB11" s="26" t="str">
        <f>IF(AND(AB$6&gt;=$B11,AB$6&lt;=$C11),1,"")</f>
        <v/>
      </c>
      <c r="AC11" s="26" t="str">
        <f>IF(AND(AC$6&gt;=$B11,AC$6&lt;=$C11),1,"")</f>
        <v/>
      </c>
      <c r="AD11" s="26" t="str">
        <f>IF(AND(AD$6&gt;=$B11,AD$6&lt;=$C11),1,"")</f>
        <v/>
      </c>
      <c r="AE11" s="26" t="str">
        <f>IF(AND(AE$6&gt;=$B11,AE$6&lt;=$C11),1,"")</f>
        <v/>
      </c>
      <c r="AF11" s="26" t="str">
        <f>IF(AND(AF$6&gt;=$B11,AF$6&lt;=$C11),1,"")</f>
        <v/>
      </c>
    </row>
    <row r="12" spans="1:34" ht="18" customHeight="1" x14ac:dyDescent="0.25">
      <c r="A12" s="14" t="s">
        <v>73</v>
      </c>
      <c r="B12" s="16">
        <v>46045</v>
      </c>
      <c r="C12" s="16">
        <v>46048</v>
      </c>
      <c r="D12" s="15">
        <f>IF(OR($B12="",$C12=""),"",NETWORKDAYS($B12,$C12))</f>
        <v>2</v>
      </c>
      <c r="E12" s="15" t="s">
        <v>4</v>
      </c>
      <c r="F12" s="5">
        <f>IF($E12="",0,VLOOKUP($E12,_Lists!$A$2:$B$6,2,FALSE)/100)</f>
        <v>0</v>
      </c>
      <c r="G12" s="14"/>
      <c r="H12" s="26" t="str">
        <f>IF(AND(H$6&gt;=$B12,H$6&lt;=$C12),1,"")</f>
        <v/>
      </c>
      <c r="I12" s="26" t="str">
        <f>IF(AND(I$6&gt;=$B12,I$6&lt;=$C12),1,"")</f>
        <v/>
      </c>
      <c r="J12" s="26" t="str">
        <f>IF(AND(J$6&gt;=$B12,J$6&lt;=$C12),1,"")</f>
        <v/>
      </c>
      <c r="K12" s="26" t="str">
        <f>IF(AND(K$6&gt;=$B12,K$6&lt;=$C12),1,"")</f>
        <v/>
      </c>
      <c r="L12" s="26">
        <f>IF(AND(L$6&gt;=$B12,L$6&lt;=$C12),1,"")</f>
        <v>1</v>
      </c>
      <c r="M12" s="26">
        <f>IF(AND(M$6&gt;=$B12,M$6&lt;=$C12),1,"")</f>
        <v>1</v>
      </c>
      <c r="N12" s="26" t="str">
        <f>IF(AND(N$6&gt;=$B12,N$6&lt;=$C12),1,"")</f>
        <v/>
      </c>
      <c r="O12" s="26" t="str">
        <f>IF(AND(O$6&gt;=$B12,O$6&lt;=$C12),1,"")</f>
        <v/>
      </c>
      <c r="P12" s="26" t="str">
        <f>IF(AND(P$6&gt;=$B12,P$6&lt;=$C12),1,"")</f>
        <v/>
      </c>
      <c r="Q12" s="26" t="str">
        <f>IF(AND(Q$6&gt;=$B12,Q$6&lt;=$C12),1,"")</f>
        <v/>
      </c>
      <c r="R12" s="26" t="str">
        <f>IF(AND(R$6&gt;=$B12,R$6&lt;=$C12),1,"")</f>
        <v/>
      </c>
      <c r="S12" s="26" t="str">
        <f>IF(AND(S$6&gt;=$B12,S$6&lt;=$C12),1,"")</f>
        <v/>
      </c>
      <c r="T12" s="26" t="str">
        <f>IF(AND(T$6&gt;=$B12,T$6&lt;=$C12),1,"")</f>
        <v/>
      </c>
      <c r="U12" s="26" t="str">
        <f>IF(AND(U$6&gt;=$B12,U$6&lt;=$C12),1,"")</f>
        <v/>
      </c>
      <c r="V12" s="26" t="str">
        <f>IF(AND(V$6&gt;=$B12,V$6&lt;=$C12),1,"")</f>
        <v/>
      </c>
      <c r="W12" s="26" t="str">
        <f>IF(AND(W$6&gt;=$B12,W$6&lt;=$C12),1,"")</f>
        <v/>
      </c>
      <c r="X12" s="26" t="str">
        <f>IF(AND(X$6&gt;=$B12,X$6&lt;=$C12),1,"")</f>
        <v/>
      </c>
      <c r="Y12" s="26" t="str">
        <f>IF(AND(Y$6&gt;=$B12,Y$6&lt;=$C12),1,"")</f>
        <v/>
      </c>
      <c r="Z12" s="26" t="str">
        <f>IF(AND(Z$6&gt;=$B12,Z$6&lt;=$C12),1,"")</f>
        <v/>
      </c>
      <c r="AA12" s="26" t="str">
        <f>IF(AND(AA$6&gt;=$B12,AA$6&lt;=$C12),1,"")</f>
        <v/>
      </c>
      <c r="AB12" s="26" t="str">
        <f>IF(AND(AB$6&gt;=$B12,AB$6&lt;=$C12),1,"")</f>
        <v/>
      </c>
      <c r="AC12" s="26" t="str">
        <f>IF(AND(AC$6&gt;=$B12,AC$6&lt;=$C12),1,"")</f>
        <v/>
      </c>
      <c r="AD12" s="26" t="str">
        <f>IF(AND(AD$6&gt;=$B12,AD$6&lt;=$C12),1,"")</f>
        <v/>
      </c>
      <c r="AE12" s="26" t="str">
        <f>IF(AND(AE$6&gt;=$B12,AE$6&lt;=$C12),1,"")</f>
        <v/>
      </c>
      <c r="AF12" s="26" t="str">
        <f>IF(AND(AF$6&gt;=$B12,AF$6&lt;=$C12),1,"")</f>
        <v/>
      </c>
    </row>
    <row r="13" spans="1:34" ht="18" customHeight="1" x14ac:dyDescent="0.25">
      <c r="A13" s="14" t="s">
        <v>74</v>
      </c>
      <c r="B13" s="16">
        <v>46048</v>
      </c>
      <c r="C13" s="16">
        <v>46050</v>
      </c>
      <c r="D13" s="15">
        <f>IF(OR($B13="",$C13=""),"",NETWORKDAYS($B13,$C13))</f>
        <v>3</v>
      </c>
      <c r="E13" s="15" t="s">
        <v>4</v>
      </c>
      <c r="F13" s="5">
        <f>IF($E13="",0,VLOOKUP($E13,_Lists!$A$2:$B$6,2,FALSE)/100)</f>
        <v>0</v>
      </c>
      <c r="G13" s="14"/>
      <c r="H13" s="26" t="str">
        <f>IF(AND(H$6&gt;=$B13,H$6&lt;=$C13),1,"")</f>
        <v/>
      </c>
      <c r="I13" s="26" t="str">
        <f>IF(AND(I$6&gt;=$B13,I$6&lt;=$C13),1,"")</f>
        <v/>
      </c>
      <c r="J13" s="26" t="str">
        <f>IF(AND(J$6&gt;=$B13,J$6&lt;=$C13),1,"")</f>
        <v/>
      </c>
      <c r="K13" s="26" t="str">
        <f>IF(AND(K$6&gt;=$B13,K$6&lt;=$C13),1,"")</f>
        <v/>
      </c>
      <c r="L13" s="26" t="str">
        <f>IF(AND(L$6&gt;=$B13,L$6&lt;=$C13),1,"")</f>
        <v/>
      </c>
      <c r="M13" s="26">
        <f>IF(AND(M$6&gt;=$B13,M$6&lt;=$C13),1,"")</f>
        <v>1</v>
      </c>
      <c r="N13" s="26">
        <f>IF(AND(N$6&gt;=$B13,N$6&lt;=$C13),1,"")</f>
        <v>1</v>
      </c>
      <c r="O13" s="26">
        <f>IF(AND(O$6&gt;=$B13,O$6&lt;=$C13),1,"")</f>
        <v>1</v>
      </c>
      <c r="P13" s="26" t="str">
        <f>IF(AND(P$6&gt;=$B13,P$6&lt;=$C13),1,"")</f>
        <v/>
      </c>
      <c r="Q13" s="26" t="str">
        <f>IF(AND(Q$6&gt;=$B13,Q$6&lt;=$C13),1,"")</f>
        <v/>
      </c>
      <c r="R13" s="26" t="str">
        <f>IF(AND(R$6&gt;=$B13,R$6&lt;=$C13),1,"")</f>
        <v/>
      </c>
      <c r="S13" s="26" t="str">
        <f>IF(AND(S$6&gt;=$B13,S$6&lt;=$C13),1,"")</f>
        <v/>
      </c>
      <c r="T13" s="26" t="str">
        <f>IF(AND(T$6&gt;=$B13,T$6&lt;=$C13),1,"")</f>
        <v/>
      </c>
      <c r="U13" s="26" t="str">
        <f>IF(AND(U$6&gt;=$B13,U$6&lt;=$C13),1,"")</f>
        <v/>
      </c>
      <c r="V13" s="26" t="str">
        <f>IF(AND(V$6&gt;=$B13,V$6&lt;=$C13),1,"")</f>
        <v/>
      </c>
      <c r="W13" s="26" t="str">
        <f>IF(AND(W$6&gt;=$B13,W$6&lt;=$C13),1,"")</f>
        <v/>
      </c>
      <c r="X13" s="26" t="str">
        <f>IF(AND(X$6&gt;=$B13,X$6&lt;=$C13),1,"")</f>
        <v/>
      </c>
      <c r="Y13" s="26" t="str">
        <f>IF(AND(Y$6&gt;=$B13,Y$6&lt;=$C13),1,"")</f>
        <v/>
      </c>
      <c r="Z13" s="26" t="str">
        <f>IF(AND(Z$6&gt;=$B13,Z$6&lt;=$C13),1,"")</f>
        <v/>
      </c>
      <c r="AA13" s="26" t="str">
        <f>IF(AND(AA$6&gt;=$B13,AA$6&lt;=$C13),1,"")</f>
        <v/>
      </c>
      <c r="AB13" s="26" t="str">
        <f>IF(AND(AB$6&gt;=$B13,AB$6&lt;=$C13),1,"")</f>
        <v/>
      </c>
      <c r="AC13" s="26" t="str">
        <f>IF(AND(AC$6&gt;=$B13,AC$6&lt;=$C13),1,"")</f>
        <v/>
      </c>
      <c r="AD13" s="26" t="str">
        <f>IF(AND(AD$6&gt;=$B13,AD$6&lt;=$C13),1,"")</f>
        <v/>
      </c>
      <c r="AE13" s="26" t="str">
        <f>IF(AND(AE$6&gt;=$B13,AE$6&lt;=$C13),1,"")</f>
        <v/>
      </c>
      <c r="AF13" s="26" t="str">
        <f>IF(AND(AF$6&gt;=$B13,AF$6&lt;=$C13),1,"")</f>
        <v/>
      </c>
    </row>
    <row r="14" spans="1:34" ht="18" customHeight="1" x14ac:dyDescent="0.25">
      <c r="A14" s="14" t="s">
        <v>75</v>
      </c>
      <c r="B14" s="16">
        <v>46051</v>
      </c>
      <c r="C14" s="16">
        <v>46052</v>
      </c>
      <c r="D14" s="15">
        <f>IF(OR($B14="",$C14=""),"",NETWORKDAYS($B14,$C14))</f>
        <v>2</v>
      </c>
      <c r="E14" s="15" t="s">
        <v>4</v>
      </c>
      <c r="F14" s="5">
        <f>IF($E14="",0,VLOOKUP($E14,_Lists!$A$2:$B$6,2,FALSE)/100)</f>
        <v>0</v>
      </c>
      <c r="G14" s="14"/>
      <c r="H14" s="26" t="str">
        <f>IF(AND(H$6&gt;=$B14,H$6&lt;=$C14),1,"")</f>
        <v/>
      </c>
      <c r="I14" s="26" t="str">
        <f>IF(AND(I$6&gt;=$B14,I$6&lt;=$C14),1,"")</f>
        <v/>
      </c>
      <c r="J14" s="26" t="str">
        <f>IF(AND(J$6&gt;=$B14,J$6&lt;=$C14),1,"")</f>
        <v/>
      </c>
      <c r="K14" s="26" t="str">
        <f>IF(AND(K$6&gt;=$B14,K$6&lt;=$C14),1,"")</f>
        <v/>
      </c>
      <c r="L14" s="26" t="str">
        <f>IF(AND(L$6&gt;=$B14,L$6&lt;=$C14),1,"")</f>
        <v/>
      </c>
      <c r="M14" s="26" t="str">
        <f>IF(AND(M$6&gt;=$B14,M$6&lt;=$C14),1,"")</f>
        <v/>
      </c>
      <c r="N14" s="26" t="str">
        <f>IF(AND(N$6&gt;=$B14,N$6&lt;=$C14),1,"")</f>
        <v/>
      </c>
      <c r="O14" s="26" t="str">
        <f>IF(AND(O$6&gt;=$B14,O$6&lt;=$C14),1,"")</f>
        <v/>
      </c>
      <c r="P14" s="26">
        <f>IF(AND(P$6&gt;=$B14,P$6&lt;=$C14),1,"")</f>
        <v>1</v>
      </c>
      <c r="Q14" s="26">
        <f>IF(AND(Q$6&gt;=$B14,Q$6&lt;=$C14),1,"")</f>
        <v>1</v>
      </c>
      <c r="R14" s="26" t="str">
        <f>IF(AND(R$6&gt;=$B14,R$6&lt;=$C14),1,"")</f>
        <v/>
      </c>
      <c r="S14" s="26" t="str">
        <f>IF(AND(S$6&gt;=$B14,S$6&lt;=$C14),1,"")</f>
        <v/>
      </c>
      <c r="T14" s="26" t="str">
        <f>IF(AND(T$6&gt;=$B14,T$6&lt;=$C14),1,"")</f>
        <v/>
      </c>
      <c r="U14" s="26" t="str">
        <f>IF(AND(U$6&gt;=$B14,U$6&lt;=$C14),1,"")</f>
        <v/>
      </c>
      <c r="V14" s="26" t="str">
        <f>IF(AND(V$6&gt;=$B14,V$6&lt;=$C14),1,"")</f>
        <v/>
      </c>
      <c r="W14" s="26" t="str">
        <f>IF(AND(W$6&gt;=$B14,W$6&lt;=$C14),1,"")</f>
        <v/>
      </c>
      <c r="X14" s="26" t="str">
        <f>IF(AND(X$6&gt;=$B14,X$6&lt;=$C14),1,"")</f>
        <v/>
      </c>
      <c r="Y14" s="26" t="str">
        <f>IF(AND(Y$6&gt;=$B14,Y$6&lt;=$C14),1,"")</f>
        <v/>
      </c>
      <c r="Z14" s="26" t="str">
        <f>IF(AND(Z$6&gt;=$B14,Z$6&lt;=$C14),1,"")</f>
        <v/>
      </c>
      <c r="AA14" s="26" t="str">
        <f>IF(AND(AA$6&gt;=$B14,AA$6&lt;=$C14),1,"")</f>
        <v/>
      </c>
      <c r="AB14" s="26" t="str">
        <f>IF(AND(AB$6&gt;=$B14,AB$6&lt;=$C14),1,"")</f>
        <v/>
      </c>
      <c r="AC14" s="26" t="str">
        <f>IF(AND(AC$6&gt;=$B14,AC$6&lt;=$C14),1,"")</f>
        <v/>
      </c>
      <c r="AD14" s="26" t="str">
        <f>IF(AND(AD$6&gt;=$B14,AD$6&lt;=$C14),1,"")</f>
        <v/>
      </c>
      <c r="AE14" s="26" t="str">
        <f>IF(AND(AE$6&gt;=$B14,AE$6&lt;=$C14),1,"")</f>
        <v/>
      </c>
      <c r="AF14" s="26" t="str">
        <f>IF(AND(AF$6&gt;=$B14,AF$6&lt;=$C14),1,"")</f>
        <v/>
      </c>
    </row>
    <row r="15" spans="1:34" ht="18" customHeight="1" x14ac:dyDescent="0.25">
      <c r="A15" s="14" t="s">
        <v>76</v>
      </c>
      <c r="B15" s="16">
        <v>46051</v>
      </c>
      <c r="C15" s="16">
        <v>46055</v>
      </c>
      <c r="D15" s="15">
        <f>IF(OR($B15="",$C15=""),"",NETWORKDAYS($B15,$C15))</f>
        <v>3</v>
      </c>
      <c r="E15" s="15" t="s">
        <v>4</v>
      </c>
      <c r="F15" s="5">
        <f>IF($E15="",0,VLOOKUP($E15,_Lists!$A$2:$B$6,2,FALSE)/100)</f>
        <v>0</v>
      </c>
      <c r="G15" s="14"/>
      <c r="H15" s="26" t="str">
        <f>IF(AND(H$6&gt;=$B15,H$6&lt;=$C15),1,"")</f>
        <v/>
      </c>
      <c r="I15" s="26" t="str">
        <f>IF(AND(I$6&gt;=$B15,I$6&lt;=$C15),1,"")</f>
        <v/>
      </c>
      <c r="J15" s="26" t="str">
        <f>IF(AND(J$6&gt;=$B15,J$6&lt;=$C15),1,"")</f>
        <v/>
      </c>
      <c r="K15" s="26" t="str">
        <f>IF(AND(K$6&gt;=$B15,K$6&lt;=$C15),1,"")</f>
        <v/>
      </c>
      <c r="L15" s="26" t="str">
        <f>IF(AND(L$6&gt;=$B15,L$6&lt;=$C15),1,"")</f>
        <v/>
      </c>
      <c r="M15" s="26" t="str">
        <f>IF(AND(M$6&gt;=$B15,M$6&lt;=$C15),1,"")</f>
        <v/>
      </c>
      <c r="N15" s="26" t="str">
        <f>IF(AND(N$6&gt;=$B15,N$6&lt;=$C15),1,"")</f>
        <v/>
      </c>
      <c r="O15" s="26" t="str">
        <f>IF(AND(O$6&gt;=$B15,O$6&lt;=$C15),1,"")</f>
        <v/>
      </c>
      <c r="P15" s="26">
        <f>IF(AND(P$6&gt;=$B15,P$6&lt;=$C15),1,"")</f>
        <v>1</v>
      </c>
      <c r="Q15" s="26">
        <f>IF(AND(Q$6&gt;=$B15,Q$6&lt;=$C15),1,"")</f>
        <v>1</v>
      </c>
      <c r="R15" s="26">
        <f>IF(AND(R$6&gt;=$B15,R$6&lt;=$C15),1,"")</f>
        <v>1</v>
      </c>
      <c r="S15" s="26" t="str">
        <f>IF(AND(S$6&gt;=$B15,S$6&lt;=$C15),1,"")</f>
        <v/>
      </c>
      <c r="T15" s="26" t="str">
        <f>IF(AND(T$6&gt;=$B15,T$6&lt;=$C15),1,"")</f>
        <v/>
      </c>
      <c r="U15" s="26" t="str">
        <f>IF(AND(U$6&gt;=$B15,U$6&lt;=$C15),1,"")</f>
        <v/>
      </c>
      <c r="V15" s="26" t="str">
        <f>IF(AND(V$6&gt;=$B15,V$6&lt;=$C15),1,"")</f>
        <v/>
      </c>
      <c r="W15" s="26" t="str">
        <f>IF(AND(W$6&gt;=$B15,W$6&lt;=$C15),1,"")</f>
        <v/>
      </c>
      <c r="X15" s="26" t="str">
        <f>IF(AND(X$6&gt;=$B15,X$6&lt;=$C15),1,"")</f>
        <v/>
      </c>
      <c r="Y15" s="26" t="str">
        <f>IF(AND(Y$6&gt;=$B15,Y$6&lt;=$C15),1,"")</f>
        <v/>
      </c>
      <c r="Z15" s="26" t="str">
        <f>IF(AND(Z$6&gt;=$B15,Z$6&lt;=$C15),1,"")</f>
        <v/>
      </c>
      <c r="AA15" s="26" t="str">
        <f>IF(AND(AA$6&gt;=$B15,AA$6&lt;=$C15),1,"")</f>
        <v/>
      </c>
      <c r="AB15" s="26" t="str">
        <f>IF(AND(AB$6&gt;=$B15,AB$6&lt;=$C15),1,"")</f>
        <v/>
      </c>
      <c r="AC15" s="26" t="str">
        <f>IF(AND(AC$6&gt;=$B15,AC$6&lt;=$C15),1,"")</f>
        <v/>
      </c>
      <c r="AD15" s="26" t="str">
        <f>IF(AND(AD$6&gt;=$B15,AD$6&lt;=$C15),1,"")</f>
        <v/>
      </c>
      <c r="AE15" s="26" t="str">
        <f>IF(AND(AE$6&gt;=$B15,AE$6&lt;=$C15),1,"")</f>
        <v/>
      </c>
      <c r="AF15" s="26" t="str">
        <f>IF(AND(AF$6&gt;=$B15,AF$6&lt;=$C15),1,"")</f>
        <v/>
      </c>
    </row>
    <row r="16" spans="1:34" ht="18" customHeight="1" x14ac:dyDescent="0.25">
      <c r="A16" s="14" t="s">
        <v>77</v>
      </c>
      <c r="B16" s="16">
        <v>46055</v>
      </c>
      <c r="C16" s="16">
        <v>46056</v>
      </c>
      <c r="D16" s="15">
        <f>IF(OR($B16="",$C16=""),"",NETWORKDAYS($B16,$C16))</f>
        <v>2</v>
      </c>
      <c r="E16" s="15" t="s">
        <v>4</v>
      </c>
      <c r="F16" s="5">
        <f>IF($E16="",0,VLOOKUP($E16,_Lists!$A$2:$B$6,2,FALSE)/100)</f>
        <v>0</v>
      </c>
      <c r="G16" s="14"/>
      <c r="H16" s="26" t="str">
        <f>IF(AND(H$6&gt;=$B16,H$6&lt;=$C16),1,"")</f>
        <v/>
      </c>
      <c r="I16" s="26" t="str">
        <f>IF(AND(I$6&gt;=$B16,I$6&lt;=$C16),1,"")</f>
        <v/>
      </c>
      <c r="J16" s="26" t="str">
        <f>IF(AND(J$6&gt;=$B16,J$6&lt;=$C16),1,"")</f>
        <v/>
      </c>
      <c r="K16" s="26" t="str">
        <f>IF(AND(K$6&gt;=$B16,K$6&lt;=$C16),1,"")</f>
        <v/>
      </c>
      <c r="L16" s="26" t="str">
        <f>IF(AND(L$6&gt;=$B16,L$6&lt;=$C16),1,"")</f>
        <v/>
      </c>
      <c r="M16" s="26" t="str">
        <f>IF(AND(M$6&gt;=$B16,M$6&lt;=$C16),1,"")</f>
        <v/>
      </c>
      <c r="N16" s="26" t="str">
        <f>IF(AND(N$6&gt;=$B16,N$6&lt;=$C16),1,"")</f>
        <v/>
      </c>
      <c r="O16" s="26" t="str">
        <f>IF(AND(O$6&gt;=$B16,O$6&lt;=$C16),1,"")</f>
        <v/>
      </c>
      <c r="P16" s="26" t="str">
        <f>IF(AND(P$6&gt;=$B16,P$6&lt;=$C16),1,"")</f>
        <v/>
      </c>
      <c r="Q16" s="26" t="str">
        <f>IF(AND(Q$6&gt;=$B16,Q$6&lt;=$C16),1,"")</f>
        <v/>
      </c>
      <c r="R16" s="26">
        <f>IF(AND(R$6&gt;=$B16,R$6&lt;=$C16),1,"")</f>
        <v>1</v>
      </c>
      <c r="S16" s="26">
        <f>IF(AND(S$6&gt;=$B16,S$6&lt;=$C16),1,"")</f>
        <v>1</v>
      </c>
      <c r="T16" s="26" t="str">
        <f>IF(AND(T$6&gt;=$B16,T$6&lt;=$C16),1,"")</f>
        <v/>
      </c>
      <c r="U16" s="26" t="str">
        <f>IF(AND(U$6&gt;=$B16,U$6&lt;=$C16),1,"")</f>
        <v/>
      </c>
      <c r="V16" s="26" t="str">
        <f>IF(AND(V$6&gt;=$B16,V$6&lt;=$C16),1,"")</f>
        <v/>
      </c>
      <c r="W16" s="26" t="str">
        <f>IF(AND(W$6&gt;=$B16,W$6&lt;=$C16),1,"")</f>
        <v/>
      </c>
      <c r="X16" s="26" t="str">
        <f>IF(AND(X$6&gt;=$B16,X$6&lt;=$C16),1,"")</f>
        <v/>
      </c>
      <c r="Y16" s="26" t="str">
        <f>IF(AND(Y$6&gt;=$B16,Y$6&lt;=$C16),1,"")</f>
        <v/>
      </c>
      <c r="Z16" s="26" t="str">
        <f>IF(AND(Z$6&gt;=$B16,Z$6&lt;=$C16),1,"")</f>
        <v/>
      </c>
      <c r="AA16" s="26" t="str">
        <f>IF(AND(AA$6&gt;=$B16,AA$6&lt;=$C16),1,"")</f>
        <v/>
      </c>
      <c r="AB16" s="26" t="str">
        <f>IF(AND(AB$6&gt;=$B16,AB$6&lt;=$C16),1,"")</f>
        <v/>
      </c>
      <c r="AC16" s="26" t="str">
        <f>IF(AND(AC$6&gt;=$B16,AC$6&lt;=$C16),1,"")</f>
        <v/>
      </c>
      <c r="AD16" s="26" t="str">
        <f>IF(AND(AD$6&gt;=$B16,AD$6&lt;=$C16),1,"")</f>
        <v/>
      </c>
      <c r="AE16" s="26" t="str">
        <f>IF(AND(AE$6&gt;=$B16,AE$6&lt;=$C16),1,"")</f>
        <v/>
      </c>
      <c r="AF16" s="26" t="str">
        <f>IF(AND(AF$6&gt;=$B16,AF$6&lt;=$C16),1,"")</f>
        <v/>
      </c>
    </row>
    <row r="17" spans="1:32" ht="18" customHeight="1" x14ac:dyDescent="0.25">
      <c r="A17" s="14" t="s">
        <v>78</v>
      </c>
      <c r="B17" s="16">
        <v>46056</v>
      </c>
      <c r="C17" s="16">
        <v>46057</v>
      </c>
      <c r="D17" s="15">
        <f>IF(OR($B17="",$C17=""),"",NETWORKDAYS($B17,$C17))</f>
        <v>2</v>
      </c>
      <c r="E17" s="15" t="s">
        <v>4</v>
      </c>
      <c r="F17" s="5">
        <f>IF($E17="",0,VLOOKUP($E17,_Lists!$A$2:$B$6,2,FALSE)/100)</f>
        <v>0</v>
      </c>
      <c r="G17" s="14"/>
      <c r="H17" s="26" t="str">
        <f>IF(AND(H$6&gt;=$B17,H$6&lt;=$C17),1,"")</f>
        <v/>
      </c>
      <c r="I17" s="26" t="str">
        <f>IF(AND(I$6&gt;=$B17,I$6&lt;=$C17),1,"")</f>
        <v/>
      </c>
      <c r="J17" s="26" t="str">
        <f>IF(AND(J$6&gt;=$B17,J$6&lt;=$C17),1,"")</f>
        <v/>
      </c>
      <c r="K17" s="26" t="str">
        <f>IF(AND(K$6&gt;=$B17,K$6&lt;=$C17),1,"")</f>
        <v/>
      </c>
      <c r="L17" s="26" t="str">
        <f>IF(AND(L$6&gt;=$B17,L$6&lt;=$C17),1,"")</f>
        <v/>
      </c>
      <c r="M17" s="26" t="str">
        <f>IF(AND(M$6&gt;=$B17,M$6&lt;=$C17),1,"")</f>
        <v/>
      </c>
      <c r="N17" s="26" t="str">
        <f>IF(AND(N$6&gt;=$B17,N$6&lt;=$C17),1,"")</f>
        <v/>
      </c>
      <c r="O17" s="26" t="str">
        <f>IF(AND(O$6&gt;=$B17,O$6&lt;=$C17),1,"")</f>
        <v/>
      </c>
      <c r="P17" s="26" t="str">
        <f>IF(AND(P$6&gt;=$B17,P$6&lt;=$C17),1,"")</f>
        <v/>
      </c>
      <c r="Q17" s="26" t="str">
        <f>IF(AND(Q$6&gt;=$B17,Q$6&lt;=$C17),1,"")</f>
        <v/>
      </c>
      <c r="R17" s="26" t="str">
        <f>IF(AND(R$6&gt;=$B17,R$6&lt;=$C17),1,"")</f>
        <v/>
      </c>
      <c r="S17" s="26">
        <f>IF(AND(S$6&gt;=$B17,S$6&lt;=$C17),1,"")</f>
        <v>1</v>
      </c>
      <c r="T17" s="26">
        <f>IF(AND(T$6&gt;=$B17,T$6&lt;=$C17),1,"")</f>
        <v>1</v>
      </c>
      <c r="U17" s="26" t="str">
        <f>IF(AND(U$6&gt;=$B17,U$6&lt;=$C17),1,"")</f>
        <v/>
      </c>
      <c r="V17" s="26" t="str">
        <f>IF(AND(V$6&gt;=$B17,V$6&lt;=$C17),1,"")</f>
        <v/>
      </c>
      <c r="W17" s="26" t="str">
        <f>IF(AND(W$6&gt;=$B17,W$6&lt;=$C17),1,"")</f>
        <v/>
      </c>
      <c r="X17" s="26" t="str">
        <f>IF(AND(X$6&gt;=$B17,X$6&lt;=$C17),1,"")</f>
        <v/>
      </c>
      <c r="Y17" s="26" t="str">
        <f>IF(AND(Y$6&gt;=$B17,Y$6&lt;=$C17),1,"")</f>
        <v/>
      </c>
      <c r="Z17" s="26" t="str">
        <f>IF(AND(Z$6&gt;=$B17,Z$6&lt;=$C17),1,"")</f>
        <v/>
      </c>
      <c r="AA17" s="26" t="str">
        <f>IF(AND(AA$6&gt;=$B17,AA$6&lt;=$C17),1,"")</f>
        <v/>
      </c>
      <c r="AB17" s="26" t="str">
        <f>IF(AND(AB$6&gt;=$B17,AB$6&lt;=$C17),1,"")</f>
        <v/>
      </c>
      <c r="AC17" s="26" t="str">
        <f>IF(AND(AC$6&gt;=$B17,AC$6&lt;=$C17),1,"")</f>
        <v/>
      </c>
      <c r="AD17" s="26" t="str">
        <f>IF(AND(AD$6&gt;=$B17,AD$6&lt;=$C17),1,"")</f>
        <v/>
      </c>
      <c r="AE17" s="26" t="str">
        <f>IF(AND(AE$6&gt;=$B17,AE$6&lt;=$C17),1,"")</f>
        <v/>
      </c>
      <c r="AF17" s="26" t="str">
        <f>IF(AND(AF$6&gt;=$B17,AF$6&lt;=$C17),1,"")</f>
        <v/>
      </c>
    </row>
    <row r="18" spans="1:32" ht="18" customHeight="1" x14ac:dyDescent="0.25">
      <c r="A18" s="14" t="s">
        <v>79</v>
      </c>
      <c r="B18" s="16">
        <v>46057</v>
      </c>
      <c r="C18" s="16">
        <v>46058</v>
      </c>
      <c r="D18" s="15">
        <f>IF(OR($B18="",$C18=""),"",NETWORKDAYS($B18,$C18))</f>
        <v>2</v>
      </c>
      <c r="E18" s="15" t="s">
        <v>4</v>
      </c>
      <c r="F18" s="5">
        <f>IF($E18="",0,VLOOKUP($E18,_Lists!$A$2:$B$6,2,FALSE)/100)</f>
        <v>0</v>
      </c>
      <c r="G18" s="14"/>
      <c r="H18" s="26" t="str">
        <f>IF(AND(H$6&gt;=$B18,H$6&lt;=$C18),1,"")</f>
        <v/>
      </c>
      <c r="I18" s="26" t="str">
        <f>IF(AND(I$6&gt;=$B18,I$6&lt;=$C18),1,"")</f>
        <v/>
      </c>
      <c r="J18" s="26" t="str">
        <f>IF(AND(J$6&gt;=$B18,J$6&lt;=$C18),1,"")</f>
        <v/>
      </c>
      <c r="K18" s="26" t="str">
        <f>IF(AND(K$6&gt;=$B18,K$6&lt;=$C18),1,"")</f>
        <v/>
      </c>
      <c r="L18" s="26" t="str">
        <f>IF(AND(L$6&gt;=$B18,L$6&lt;=$C18),1,"")</f>
        <v/>
      </c>
      <c r="M18" s="26" t="str">
        <f>IF(AND(M$6&gt;=$B18,M$6&lt;=$C18),1,"")</f>
        <v/>
      </c>
      <c r="N18" s="26" t="str">
        <f>IF(AND(N$6&gt;=$B18,N$6&lt;=$C18),1,"")</f>
        <v/>
      </c>
      <c r="O18" s="26" t="str">
        <f>IF(AND(O$6&gt;=$B18,O$6&lt;=$C18),1,"")</f>
        <v/>
      </c>
      <c r="P18" s="26" t="str">
        <f>IF(AND(P$6&gt;=$B18,P$6&lt;=$C18),1,"")</f>
        <v/>
      </c>
      <c r="Q18" s="26" t="str">
        <f>IF(AND(Q$6&gt;=$B18,Q$6&lt;=$C18),1,"")</f>
        <v/>
      </c>
      <c r="R18" s="26" t="str">
        <f>IF(AND(R$6&gt;=$B18,R$6&lt;=$C18),1,"")</f>
        <v/>
      </c>
      <c r="S18" s="26" t="str">
        <f>IF(AND(S$6&gt;=$B18,S$6&lt;=$C18),1,"")</f>
        <v/>
      </c>
      <c r="T18" s="26">
        <f>IF(AND(T$6&gt;=$B18,T$6&lt;=$C18),1,"")</f>
        <v>1</v>
      </c>
      <c r="U18" s="26">
        <f>IF(AND(U$6&gt;=$B18,U$6&lt;=$C18),1,"")</f>
        <v>1</v>
      </c>
      <c r="V18" s="26" t="str">
        <f>IF(AND(V$6&gt;=$B18,V$6&lt;=$C18),1,"")</f>
        <v/>
      </c>
      <c r="W18" s="26" t="str">
        <f>IF(AND(W$6&gt;=$B18,W$6&lt;=$C18),1,"")</f>
        <v/>
      </c>
      <c r="X18" s="26" t="str">
        <f>IF(AND(X$6&gt;=$B18,X$6&lt;=$C18),1,"")</f>
        <v/>
      </c>
      <c r="Y18" s="26" t="str">
        <f>IF(AND(Y$6&gt;=$B18,Y$6&lt;=$C18),1,"")</f>
        <v/>
      </c>
      <c r="Z18" s="26" t="str">
        <f>IF(AND(Z$6&gt;=$B18,Z$6&lt;=$C18),1,"")</f>
        <v/>
      </c>
      <c r="AA18" s="26" t="str">
        <f>IF(AND(AA$6&gt;=$B18,AA$6&lt;=$C18),1,"")</f>
        <v/>
      </c>
      <c r="AB18" s="26" t="str">
        <f>IF(AND(AB$6&gt;=$B18,AB$6&lt;=$C18),1,"")</f>
        <v/>
      </c>
      <c r="AC18" s="26" t="str">
        <f>IF(AND(AC$6&gt;=$B18,AC$6&lt;=$C18),1,"")</f>
        <v/>
      </c>
      <c r="AD18" s="26" t="str">
        <f>IF(AND(AD$6&gt;=$B18,AD$6&lt;=$C18),1,"")</f>
        <v/>
      </c>
      <c r="AE18" s="26" t="str">
        <f>IF(AND(AE$6&gt;=$B18,AE$6&lt;=$C18),1,"")</f>
        <v/>
      </c>
      <c r="AF18" s="26" t="str">
        <f>IF(AND(AF$6&gt;=$B18,AF$6&lt;=$C18),1,"")</f>
        <v/>
      </c>
    </row>
    <row r="19" spans="1:32" ht="18" customHeight="1" x14ac:dyDescent="0.25">
      <c r="A19" s="14" t="s">
        <v>80</v>
      </c>
      <c r="B19" s="16">
        <v>46058</v>
      </c>
      <c r="C19" s="16">
        <v>46062</v>
      </c>
      <c r="D19" s="15">
        <f>IF(OR($B19="",$C19=""),"",NETWORKDAYS($B19,$C19))</f>
        <v>3</v>
      </c>
      <c r="E19" s="15" t="s">
        <v>4</v>
      </c>
      <c r="F19" s="5">
        <f>IF($E19="",0,VLOOKUP($E19,_Lists!$A$2:$B$6,2,FALSE)/100)</f>
        <v>0</v>
      </c>
      <c r="G19" s="14"/>
      <c r="H19" s="26" t="str">
        <f>IF(AND(H$6&gt;=$B19,H$6&lt;=$C19),1,"")</f>
        <v/>
      </c>
      <c r="I19" s="26" t="str">
        <f>IF(AND(I$6&gt;=$B19,I$6&lt;=$C19),1,"")</f>
        <v/>
      </c>
      <c r="J19" s="26" t="str">
        <f>IF(AND(J$6&gt;=$B19,J$6&lt;=$C19),1,"")</f>
        <v/>
      </c>
      <c r="K19" s="26" t="str">
        <f>IF(AND(K$6&gt;=$B19,K$6&lt;=$C19),1,"")</f>
        <v/>
      </c>
      <c r="L19" s="26" t="str">
        <f>IF(AND(L$6&gt;=$B19,L$6&lt;=$C19),1,"")</f>
        <v/>
      </c>
      <c r="M19" s="26" t="str">
        <f>IF(AND(M$6&gt;=$B19,M$6&lt;=$C19),1,"")</f>
        <v/>
      </c>
      <c r="N19" s="26" t="str">
        <f>IF(AND(N$6&gt;=$B19,N$6&lt;=$C19),1,"")</f>
        <v/>
      </c>
      <c r="O19" s="26" t="str">
        <f>IF(AND(O$6&gt;=$B19,O$6&lt;=$C19),1,"")</f>
        <v/>
      </c>
      <c r="P19" s="26" t="str">
        <f>IF(AND(P$6&gt;=$B19,P$6&lt;=$C19),1,"")</f>
        <v/>
      </c>
      <c r="Q19" s="26" t="str">
        <f>IF(AND(Q$6&gt;=$B19,Q$6&lt;=$C19),1,"")</f>
        <v/>
      </c>
      <c r="R19" s="26" t="str">
        <f>IF(AND(R$6&gt;=$B19,R$6&lt;=$C19),1,"")</f>
        <v/>
      </c>
      <c r="S19" s="26" t="str">
        <f>IF(AND(S$6&gt;=$B19,S$6&lt;=$C19),1,"")</f>
        <v/>
      </c>
      <c r="T19" s="26" t="str">
        <f>IF(AND(T$6&gt;=$B19,T$6&lt;=$C19),1,"")</f>
        <v/>
      </c>
      <c r="U19" s="26">
        <f>IF(AND(U$6&gt;=$B19,U$6&lt;=$C19),1,"")</f>
        <v>1</v>
      </c>
      <c r="V19" s="26">
        <f>IF(AND(V$6&gt;=$B19,V$6&lt;=$C19),1,"")</f>
        <v>1</v>
      </c>
      <c r="W19" s="26">
        <f>IF(AND(W$6&gt;=$B19,W$6&lt;=$C19),1,"")</f>
        <v>1</v>
      </c>
      <c r="X19" s="26" t="str">
        <f>IF(AND(X$6&gt;=$B19,X$6&lt;=$C19),1,"")</f>
        <v/>
      </c>
      <c r="Y19" s="26" t="str">
        <f>IF(AND(Y$6&gt;=$B19,Y$6&lt;=$C19),1,"")</f>
        <v/>
      </c>
      <c r="Z19" s="26" t="str">
        <f>IF(AND(Z$6&gt;=$B19,Z$6&lt;=$C19),1,"")</f>
        <v/>
      </c>
      <c r="AA19" s="26" t="str">
        <f>IF(AND(AA$6&gt;=$B19,AA$6&lt;=$C19),1,"")</f>
        <v/>
      </c>
      <c r="AB19" s="26" t="str">
        <f>IF(AND(AB$6&gt;=$B19,AB$6&lt;=$C19),1,"")</f>
        <v/>
      </c>
      <c r="AC19" s="26" t="str">
        <f>IF(AND(AC$6&gt;=$B19,AC$6&lt;=$C19),1,"")</f>
        <v/>
      </c>
      <c r="AD19" s="26" t="str">
        <f>IF(AND(AD$6&gt;=$B19,AD$6&lt;=$C19),1,"")</f>
        <v/>
      </c>
      <c r="AE19" s="26" t="str">
        <f>IF(AND(AE$6&gt;=$B19,AE$6&lt;=$C19),1,"")</f>
        <v/>
      </c>
      <c r="AF19" s="26" t="str">
        <f>IF(AND(AF$6&gt;=$B19,AF$6&lt;=$C19),1,"")</f>
        <v/>
      </c>
    </row>
    <row r="20" spans="1:32" ht="18" customHeight="1" x14ac:dyDescent="0.25">
      <c r="A20" s="14" t="s">
        <v>81</v>
      </c>
      <c r="B20" s="16">
        <v>46063</v>
      </c>
      <c r="C20" s="16">
        <v>46063</v>
      </c>
      <c r="D20" s="15">
        <f>IF(OR($B20="",$C20=""),"",NETWORKDAYS($B20,$C20))</f>
        <v>1</v>
      </c>
      <c r="E20" s="15" t="s">
        <v>4</v>
      </c>
      <c r="F20" s="5">
        <f>IF($E20="",0,VLOOKUP($E20,_Lists!$A$2:$B$6,2,FALSE)/100)</f>
        <v>0</v>
      </c>
      <c r="G20" s="14"/>
      <c r="H20" s="26" t="str">
        <f>IF(AND(H$6&gt;=$B20,H$6&lt;=$C20),1,"")</f>
        <v/>
      </c>
      <c r="I20" s="26" t="str">
        <f>IF(AND(I$6&gt;=$B20,I$6&lt;=$C20),1,"")</f>
        <v/>
      </c>
      <c r="J20" s="26" t="str">
        <f>IF(AND(J$6&gt;=$B20,J$6&lt;=$C20),1,"")</f>
        <v/>
      </c>
      <c r="K20" s="26" t="str">
        <f>IF(AND(K$6&gt;=$B20,K$6&lt;=$C20),1,"")</f>
        <v/>
      </c>
      <c r="L20" s="26" t="str">
        <f>IF(AND(L$6&gt;=$B20,L$6&lt;=$C20),1,"")</f>
        <v/>
      </c>
      <c r="M20" s="26" t="str">
        <f>IF(AND(M$6&gt;=$B20,M$6&lt;=$C20),1,"")</f>
        <v/>
      </c>
      <c r="N20" s="26" t="str">
        <f>IF(AND(N$6&gt;=$B20,N$6&lt;=$C20),1,"")</f>
        <v/>
      </c>
      <c r="O20" s="26" t="str">
        <f>IF(AND(O$6&gt;=$B20,O$6&lt;=$C20),1,"")</f>
        <v/>
      </c>
      <c r="P20" s="26" t="str">
        <f>IF(AND(P$6&gt;=$B20,P$6&lt;=$C20),1,"")</f>
        <v/>
      </c>
      <c r="Q20" s="26" t="str">
        <f>IF(AND(Q$6&gt;=$B20,Q$6&lt;=$C20),1,"")</f>
        <v/>
      </c>
      <c r="R20" s="26" t="str">
        <f>IF(AND(R$6&gt;=$B20,R$6&lt;=$C20),1,"")</f>
        <v/>
      </c>
      <c r="S20" s="26" t="str">
        <f>IF(AND(S$6&gt;=$B20,S$6&lt;=$C20),1,"")</f>
        <v/>
      </c>
      <c r="T20" s="26" t="str">
        <f>IF(AND(T$6&gt;=$B20,T$6&lt;=$C20),1,"")</f>
        <v/>
      </c>
      <c r="U20" s="26" t="str">
        <f>IF(AND(U$6&gt;=$B20,U$6&lt;=$C20),1,"")</f>
        <v/>
      </c>
      <c r="V20" s="26" t="str">
        <f>IF(AND(V$6&gt;=$B20,V$6&lt;=$C20),1,"")</f>
        <v/>
      </c>
      <c r="W20" s="26" t="str">
        <f>IF(AND(W$6&gt;=$B20,W$6&lt;=$C20),1,"")</f>
        <v/>
      </c>
      <c r="X20" s="26">
        <f>IF(AND(X$6&gt;=$B20,X$6&lt;=$C20),1,"")</f>
        <v>1</v>
      </c>
      <c r="Y20" s="26" t="str">
        <f>IF(AND(Y$6&gt;=$B20,Y$6&lt;=$C20),1,"")</f>
        <v/>
      </c>
      <c r="Z20" s="26" t="str">
        <f>IF(AND(Z$6&gt;=$B20,Z$6&lt;=$C20),1,"")</f>
        <v/>
      </c>
      <c r="AA20" s="26" t="str">
        <f>IF(AND(AA$6&gt;=$B20,AA$6&lt;=$C20),1,"")</f>
        <v/>
      </c>
      <c r="AB20" s="26" t="str">
        <f>IF(AND(AB$6&gt;=$B20,AB$6&lt;=$C20),1,"")</f>
        <v/>
      </c>
      <c r="AC20" s="26" t="str">
        <f>IF(AND(AC$6&gt;=$B20,AC$6&lt;=$C20),1,"")</f>
        <v/>
      </c>
      <c r="AD20" s="26" t="str">
        <f>IF(AND(AD$6&gt;=$B20,AD$6&lt;=$C20),1,"")</f>
        <v/>
      </c>
      <c r="AE20" s="26" t="str">
        <f>IF(AND(AE$6&gt;=$B20,AE$6&lt;=$C20),1,"")</f>
        <v/>
      </c>
      <c r="AF20" s="26" t="str">
        <f>IF(AND(AF$6&gt;=$B20,AF$6&lt;=$C20),1,"")</f>
        <v/>
      </c>
    </row>
    <row r="21" spans="1:32" ht="18" customHeight="1" x14ac:dyDescent="0.25">
      <c r="A21" s="14" t="s">
        <v>82</v>
      </c>
      <c r="B21" s="16">
        <v>46063</v>
      </c>
      <c r="C21" s="16">
        <v>46064</v>
      </c>
      <c r="D21" s="15">
        <f>IF(OR($B21="",$C21=""),"",NETWORKDAYS($B21,$C21))</f>
        <v>2</v>
      </c>
      <c r="E21" s="15" t="s">
        <v>4</v>
      </c>
      <c r="F21" s="5">
        <f>IF($E21="",0,VLOOKUP($E21,_Lists!$A$2:$B$6,2,FALSE)/100)</f>
        <v>0</v>
      </c>
      <c r="G21" s="14"/>
      <c r="H21" s="26" t="str">
        <f>IF(AND(H$6&gt;=$B21,H$6&lt;=$C21),1,"")</f>
        <v/>
      </c>
      <c r="I21" s="26" t="str">
        <f>IF(AND(I$6&gt;=$B21,I$6&lt;=$C21),1,"")</f>
        <v/>
      </c>
      <c r="J21" s="26" t="str">
        <f>IF(AND(J$6&gt;=$B21,J$6&lt;=$C21),1,"")</f>
        <v/>
      </c>
      <c r="K21" s="26" t="str">
        <f>IF(AND(K$6&gt;=$B21,K$6&lt;=$C21),1,"")</f>
        <v/>
      </c>
      <c r="L21" s="26" t="str">
        <f>IF(AND(L$6&gt;=$B21,L$6&lt;=$C21),1,"")</f>
        <v/>
      </c>
      <c r="M21" s="26" t="str">
        <f>IF(AND(M$6&gt;=$B21,M$6&lt;=$C21),1,"")</f>
        <v/>
      </c>
      <c r="N21" s="26" t="str">
        <f>IF(AND(N$6&gt;=$B21,N$6&lt;=$C21),1,"")</f>
        <v/>
      </c>
      <c r="O21" s="26" t="str">
        <f>IF(AND(O$6&gt;=$B21,O$6&lt;=$C21),1,"")</f>
        <v/>
      </c>
      <c r="P21" s="26" t="str">
        <f>IF(AND(P$6&gt;=$B21,P$6&lt;=$C21),1,"")</f>
        <v/>
      </c>
      <c r="Q21" s="26" t="str">
        <f>IF(AND(Q$6&gt;=$B21,Q$6&lt;=$C21),1,"")</f>
        <v/>
      </c>
      <c r="R21" s="26" t="str">
        <f>IF(AND(R$6&gt;=$B21,R$6&lt;=$C21),1,"")</f>
        <v/>
      </c>
      <c r="S21" s="26" t="str">
        <f>IF(AND(S$6&gt;=$B21,S$6&lt;=$C21),1,"")</f>
        <v/>
      </c>
      <c r="T21" s="26" t="str">
        <f>IF(AND(T$6&gt;=$B21,T$6&lt;=$C21),1,"")</f>
        <v/>
      </c>
      <c r="U21" s="26" t="str">
        <f>IF(AND(U$6&gt;=$B21,U$6&lt;=$C21),1,"")</f>
        <v/>
      </c>
      <c r="V21" s="26" t="str">
        <f>IF(AND(V$6&gt;=$B21,V$6&lt;=$C21),1,"")</f>
        <v/>
      </c>
      <c r="W21" s="26" t="str">
        <f>IF(AND(W$6&gt;=$B21,W$6&lt;=$C21),1,"")</f>
        <v/>
      </c>
      <c r="X21" s="26">
        <f>IF(AND(X$6&gt;=$B21,X$6&lt;=$C21),1,"")</f>
        <v>1</v>
      </c>
      <c r="Y21" s="26">
        <f>IF(AND(Y$6&gt;=$B21,Y$6&lt;=$C21),1,"")</f>
        <v>1</v>
      </c>
      <c r="Z21" s="26" t="str">
        <f>IF(AND(Z$6&gt;=$B21,Z$6&lt;=$C21),1,"")</f>
        <v/>
      </c>
      <c r="AA21" s="26" t="str">
        <f>IF(AND(AA$6&gt;=$B21,AA$6&lt;=$C21),1,"")</f>
        <v/>
      </c>
      <c r="AB21" s="26" t="str">
        <f>IF(AND(AB$6&gt;=$B21,AB$6&lt;=$C21),1,"")</f>
        <v/>
      </c>
      <c r="AC21" s="26" t="str">
        <f>IF(AND(AC$6&gt;=$B21,AC$6&lt;=$C21),1,"")</f>
        <v/>
      </c>
      <c r="AD21" s="26" t="str">
        <f>IF(AND(AD$6&gt;=$B21,AD$6&lt;=$C21),1,"")</f>
        <v/>
      </c>
      <c r="AE21" s="26" t="str">
        <f>IF(AND(AE$6&gt;=$B21,AE$6&lt;=$C21),1,"")</f>
        <v/>
      </c>
      <c r="AF21" s="26" t="str">
        <f>IF(AND(AF$6&gt;=$B21,AF$6&lt;=$C21),1,"")</f>
        <v/>
      </c>
    </row>
    <row r="22" spans="1:32" ht="18" customHeight="1" x14ac:dyDescent="0.25">
      <c r="A22" s="14" t="s">
        <v>83</v>
      </c>
      <c r="B22" s="16">
        <v>46064</v>
      </c>
      <c r="C22" s="16">
        <v>46065</v>
      </c>
      <c r="D22" s="15">
        <f>IF(OR($B22="",$C22=""),"",NETWORKDAYS($B22,$C22))</f>
        <v>2</v>
      </c>
      <c r="E22" s="15" t="s">
        <v>4</v>
      </c>
      <c r="F22" s="5">
        <f>IF($E22="",0,VLOOKUP($E22,_Lists!$A$2:$B$6,2,FALSE)/100)</f>
        <v>0</v>
      </c>
      <c r="G22" s="14"/>
      <c r="H22" s="26" t="str">
        <f>IF(AND(H$6&gt;=$B22,H$6&lt;=$C22),1,"")</f>
        <v/>
      </c>
      <c r="I22" s="26" t="str">
        <f>IF(AND(I$6&gt;=$B22,I$6&lt;=$C22),1,"")</f>
        <v/>
      </c>
      <c r="J22" s="26" t="str">
        <f>IF(AND(J$6&gt;=$B22,J$6&lt;=$C22),1,"")</f>
        <v/>
      </c>
      <c r="K22" s="26" t="str">
        <f>IF(AND(K$6&gt;=$B22,K$6&lt;=$C22),1,"")</f>
        <v/>
      </c>
      <c r="L22" s="26" t="str">
        <f>IF(AND(L$6&gt;=$B22,L$6&lt;=$C22),1,"")</f>
        <v/>
      </c>
      <c r="M22" s="26" t="str">
        <f>IF(AND(M$6&gt;=$B22,M$6&lt;=$C22),1,"")</f>
        <v/>
      </c>
      <c r="N22" s="26" t="str">
        <f>IF(AND(N$6&gt;=$B22,N$6&lt;=$C22),1,"")</f>
        <v/>
      </c>
      <c r="O22" s="26" t="str">
        <f>IF(AND(O$6&gt;=$B22,O$6&lt;=$C22),1,"")</f>
        <v/>
      </c>
      <c r="P22" s="26" t="str">
        <f>IF(AND(P$6&gt;=$B22,P$6&lt;=$C22),1,"")</f>
        <v/>
      </c>
      <c r="Q22" s="26" t="str">
        <f>IF(AND(Q$6&gt;=$B22,Q$6&lt;=$C22),1,"")</f>
        <v/>
      </c>
      <c r="R22" s="26" t="str">
        <f>IF(AND(R$6&gt;=$B22,R$6&lt;=$C22),1,"")</f>
        <v/>
      </c>
      <c r="S22" s="26" t="str">
        <f>IF(AND(S$6&gt;=$B22,S$6&lt;=$C22),1,"")</f>
        <v/>
      </c>
      <c r="T22" s="26" t="str">
        <f>IF(AND(T$6&gt;=$B22,T$6&lt;=$C22),1,"")</f>
        <v/>
      </c>
      <c r="U22" s="26" t="str">
        <f>IF(AND(U$6&gt;=$B22,U$6&lt;=$C22),1,"")</f>
        <v/>
      </c>
      <c r="V22" s="26" t="str">
        <f>IF(AND(V$6&gt;=$B22,V$6&lt;=$C22),1,"")</f>
        <v/>
      </c>
      <c r="W22" s="26" t="str">
        <f>IF(AND(W$6&gt;=$B22,W$6&lt;=$C22),1,"")</f>
        <v/>
      </c>
      <c r="X22" s="26" t="str">
        <f>IF(AND(X$6&gt;=$B22,X$6&lt;=$C22),1,"")</f>
        <v/>
      </c>
      <c r="Y22" s="26">
        <f>IF(AND(Y$6&gt;=$B22,Y$6&lt;=$C22),1,"")</f>
        <v>1</v>
      </c>
      <c r="Z22" s="26">
        <f>IF(AND(Z$6&gt;=$B22,Z$6&lt;=$C22),1,"")</f>
        <v>1</v>
      </c>
      <c r="AA22" s="26" t="str">
        <f>IF(AND(AA$6&gt;=$B22,AA$6&lt;=$C22),1,"")</f>
        <v/>
      </c>
      <c r="AB22" s="26" t="str">
        <f>IF(AND(AB$6&gt;=$B22,AB$6&lt;=$C22),1,"")</f>
        <v/>
      </c>
      <c r="AC22" s="26" t="str">
        <f>IF(AND(AC$6&gt;=$B22,AC$6&lt;=$C22),1,"")</f>
        <v/>
      </c>
      <c r="AD22" s="26" t="str">
        <f>IF(AND(AD$6&gt;=$B22,AD$6&lt;=$C22),1,"")</f>
        <v/>
      </c>
      <c r="AE22" s="26" t="str">
        <f>IF(AND(AE$6&gt;=$B22,AE$6&lt;=$C22),1,"")</f>
        <v/>
      </c>
      <c r="AF22" s="26" t="str">
        <f>IF(AND(AF$6&gt;=$B22,AF$6&lt;=$C22),1,"")</f>
        <v/>
      </c>
    </row>
    <row r="23" spans="1:32" ht="18" customHeight="1" x14ac:dyDescent="0.25">
      <c r="A23" s="14" t="s">
        <v>84</v>
      </c>
      <c r="B23" s="16">
        <v>46065</v>
      </c>
      <c r="C23" s="16">
        <v>46066</v>
      </c>
      <c r="D23" s="15">
        <f>IF(OR($B23="",$C23=""),"",NETWORKDAYS($B23,$C23))</f>
        <v>2</v>
      </c>
      <c r="E23" s="15" t="s">
        <v>4</v>
      </c>
      <c r="F23" s="5">
        <f>IF($E23="",0,VLOOKUP($E23,_Lists!$A$2:$B$6,2,FALSE)/100)</f>
        <v>0</v>
      </c>
      <c r="G23" s="14"/>
      <c r="H23" s="26" t="str">
        <f>IF(AND(H$6&gt;=$B23,H$6&lt;=$C23),1,"")</f>
        <v/>
      </c>
      <c r="I23" s="26" t="str">
        <f>IF(AND(I$6&gt;=$B23,I$6&lt;=$C23),1,"")</f>
        <v/>
      </c>
      <c r="J23" s="26" t="str">
        <f>IF(AND(J$6&gt;=$B23,J$6&lt;=$C23),1,"")</f>
        <v/>
      </c>
      <c r="K23" s="26" t="str">
        <f>IF(AND(K$6&gt;=$B23,K$6&lt;=$C23),1,"")</f>
        <v/>
      </c>
      <c r="L23" s="26" t="str">
        <f>IF(AND(L$6&gt;=$B23,L$6&lt;=$C23),1,"")</f>
        <v/>
      </c>
      <c r="M23" s="26" t="str">
        <f>IF(AND(M$6&gt;=$B23,M$6&lt;=$C23),1,"")</f>
        <v/>
      </c>
      <c r="N23" s="26" t="str">
        <f>IF(AND(N$6&gt;=$B23,N$6&lt;=$C23),1,"")</f>
        <v/>
      </c>
      <c r="O23" s="26" t="str">
        <f>IF(AND(O$6&gt;=$B23,O$6&lt;=$C23),1,"")</f>
        <v/>
      </c>
      <c r="P23" s="26" t="str">
        <f>IF(AND(P$6&gt;=$B23,P$6&lt;=$C23),1,"")</f>
        <v/>
      </c>
      <c r="Q23" s="26" t="str">
        <f>IF(AND(Q$6&gt;=$B23,Q$6&lt;=$C23),1,"")</f>
        <v/>
      </c>
      <c r="R23" s="26" t="str">
        <f>IF(AND(R$6&gt;=$B23,R$6&lt;=$C23),1,"")</f>
        <v/>
      </c>
      <c r="S23" s="26" t="str">
        <f>IF(AND(S$6&gt;=$B23,S$6&lt;=$C23),1,"")</f>
        <v/>
      </c>
      <c r="T23" s="26" t="str">
        <f>IF(AND(T$6&gt;=$B23,T$6&lt;=$C23),1,"")</f>
        <v/>
      </c>
      <c r="U23" s="26" t="str">
        <f>IF(AND(U$6&gt;=$B23,U$6&lt;=$C23),1,"")</f>
        <v/>
      </c>
      <c r="V23" s="26" t="str">
        <f>IF(AND(V$6&gt;=$B23,V$6&lt;=$C23),1,"")</f>
        <v/>
      </c>
      <c r="W23" s="26" t="str">
        <f>IF(AND(W$6&gt;=$B23,W$6&lt;=$C23),1,"")</f>
        <v/>
      </c>
      <c r="X23" s="26" t="str">
        <f>IF(AND(X$6&gt;=$B23,X$6&lt;=$C23),1,"")</f>
        <v/>
      </c>
      <c r="Y23" s="26" t="str">
        <f>IF(AND(Y$6&gt;=$B23,Y$6&lt;=$C23),1,"")</f>
        <v/>
      </c>
      <c r="Z23" s="26">
        <f>IF(AND(Z$6&gt;=$B23,Z$6&lt;=$C23),1,"")</f>
        <v>1</v>
      </c>
      <c r="AA23" s="26">
        <f>IF(AND(AA$6&gt;=$B23,AA$6&lt;=$C23),1,"")</f>
        <v>1</v>
      </c>
      <c r="AB23" s="26" t="str">
        <f>IF(AND(AB$6&gt;=$B23,AB$6&lt;=$C23),1,"")</f>
        <v/>
      </c>
      <c r="AC23" s="26" t="str">
        <f>IF(AND(AC$6&gt;=$B23,AC$6&lt;=$C23),1,"")</f>
        <v/>
      </c>
      <c r="AD23" s="26" t="str">
        <f>IF(AND(AD$6&gt;=$B23,AD$6&lt;=$C23),1,"")</f>
        <v/>
      </c>
      <c r="AE23" s="26" t="str">
        <f>IF(AND(AE$6&gt;=$B23,AE$6&lt;=$C23),1,"")</f>
        <v/>
      </c>
      <c r="AF23" s="26" t="str">
        <f>IF(AND(AF$6&gt;=$B23,AF$6&lt;=$C23),1,"")</f>
        <v/>
      </c>
    </row>
    <row r="24" spans="1:32" ht="18" customHeight="1" x14ac:dyDescent="0.25">
      <c r="A24" s="14" t="s">
        <v>85</v>
      </c>
      <c r="B24" s="16">
        <v>46066</v>
      </c>
      <c r="C24" s="16">
        <v>46066</v>
      </c>
      <c r="D24" s="15">
        <f>IF(OR($B24="",$C24=""),"",NETWORKDAYS($B24,$C24))</f>
        <v>1</v>
      </c>
      <c r="E24" s="15" t="s">
        <v>4</v>
      </c>
      <c r="F24" s="5">
        <f>IF($E24="",0,VLOOKUP($E24,_Lists!$A$2:$B$6,2,FALSE)/100)</f>
        <v>0</v>
      </c>
      <c r="G24" s="14"/>
      <c r="H24" s="26" t="str">
        <f>IF(AND(H$6&gt;=$B24,H$6&lt;=$C24),1,"")</f>
        <v/>
      </c>
      <c r="I24" s="26" t="str">
        <f>IF(AND(I$6&gt;=$B24,I$6&lt;=$C24),1,"")</f>
        <v/>
      </c>
      <c r="J24" s="26" t="str">
        <f>IF(AND(J$6&gt;=$B24,J$6&lt;=$C24),1,"")</f>
        <v/>
      </c>
      <c r="K24" s="26" t="str">
        <f>IF(AND(K$6&gt;=$B24,K$6&lt;=$C24),1,"")</f>
        <v/>
      </c>
      <c r="L24" s="26" t="str">
        <f>IF(AND(L$6&gt;=$B24,L$6&lt;=$C24),1,"")</f>
        <v/>
      </c>
      <c r="M24" s="26" t="str">
        <f>IF(AND(M$6&gt;=$B24,M$6&lt;=$C24),1,"")</f>
        <v/>
      </c>
      <c r="N24" s="26" t="str">
        <f>IF(AND(N$6&gt;=$B24,N$6&lt;=$C24),1,"")</f>
        <v/>
      </c>
      <c r="O24" s="26" t="str">
        <f>IF(AND(O$6&gt;=$B24,O$6&lt;=$C24),1,"")</f>
        <v/>
      </c>
      <c r="P24" s="26" t="str">
        <f>IF(AND(P$6&gt;=$B24,P$6&lt;=$C24),1,"")</f>
        <v/>
      </c>
      <c r="Q24" s="26" t="str">
        <f>IF(AND(Q$6&gt;=$B24,Q$6&lt;=$C24),1,"")</f>
        <v/>
      </c>
      <c r="R24" s="26" t="str">
        <f>IF(AND(R$6&gt;=$B24,R$6&lt;=$C24),1,"")</f>
        <v/>
      </c>
      <c r="S24" s="26" t="str">
        <f>IF(AND(S$6&gt;=$B24,S$6&lt;=$C24),1,"")</f>
        <v/>
      </c>
      <c r="T24" s="26" t="str">
        <f>IF(AND(T$6&gt;=$B24,T$6&lt;=$C24),1,"")</f>
        <v/>
      </c>
      <c r="U24" s="26" t="str">
        <f>IF(AND(U$6&gt;=$B24,U$6&lt;=$C24),1,"")</f>
        <v/>
      </c>
      <c r="V24" s="26" t="str">
        <f>IF(AND(V$6&gt;=$B24,V$6&lt;=$C24),1,"")</f>
        <v/>
      </c>
      <c r="W24" s="26" t="str">
        <f>IF(AND(W$6&gt;=$B24,W$6&lt;=$C24),1,"")</f>
        <v/>
      </c>
      <c r="X24" s="26" t="str">
        <f>IF(AND(X$6&gt;=$B24,X$6&lt;=$C24),1,"")</f>
        <v/>
      </c>
      <c r="Y24" s="26" t="str">
        <f>IF(AND(Y$6&gt;=$B24,Y$6&lt;=$C24),1,"")</f>
        <v/>
      </c>
      <c r="Z24" s="26" t="str">
        <f>IF(AND(Z$6&gt;=$B24,Z$6&lt;=$C24),1,"")</f>
        <v/>
      </c>
      <c r="AA24" s="26">
        <f>IF(AND(AA$6&gt;=$B24,AA$6&lt;=$C24),1,"")</f>
        <v>1</v>
      </c>
      <c r="AB24" s="26" t="str">
        <f>IF(AND(AB$6&gt;=$B24,AB$6&lt;=$C24),1,"")</f>
        <v/>
      </c>
      <c r="AC24" s="26" t="str">
        <f>IF(AND(AC$6&gt;=$B24,AC$6&lt;=$C24),1,"")</f>
        <v/>
      </c>
      <c r="AD24" s="26" t="str">
        <f>IF(AND(AD$6&gt;=$B24,AD$6&lt;=$C24),1,"")</f>
        <v/>
      </c>
      <c r="AE24" s="26" t="str">
        <f>IF(AND(AE$6&gt;=$B24,AE$6&lt;=$C24),1,"")</f>
        <v/>
      </c>
      <c r="AF24" s="26" t="str">
        <f>IF(AND(AF$6&gt;=$B24,AF$6&lt;=$C24),1,"")</f>
        <v/>
      </c>
    </row>
    <row r="25" spans="1:32" ht="18" customHeight="1" x14ac:dyDescent="0.25">
      <c r="A25" s="14" t="s">
        <v>86</v>
      </c>
      <c r="B25" s="16">
        <v>46069</v>
      </c>
      <c r="C25" s="16">
        <v>46070</v>
      </c>
      <c r="D25" s="15">
        <f>IF(OR($B25="",$C25=""),"",NETWORKDAYS($B25,$C25))</f>
        <v>2</v>
      </c>
      <c r="E25" s="15" t="s">
        <v>4</v>
      </c>
      <c r="F25" s="5">
        <f>IF($E25="",0,VLOOKUP($E25,_Lists!$A$2:$B$6,2,FALSE)/100)</f>
        <v>0</v>
      </c>
      <c r="G25" s="14"/>
      <c r="H25" s="26" t="str">
        <f>IF(AND(H$6&gt;=$B25,H$6&lt;=$C25),1,"")</f>
        <v/>
      </c>
      <c r="I25" s="26" t="str">
        <f>IF(AND(I$6&gt;=$B25,I$6&lt;=$C25),1,"")</f>
        <v/>
      </c>
      <c r="J25" s="26" t="str">
        <f>IF(AND(J$6&gt;=$B25,J$6&lt;=$C25),1,"")</f>
        <v/>
      </c>
      <c r="K25" s="26" t="str">
        <f>IF(AND(K$6&gt;=$B25,K$6&lt;=$C25),1,"")</f>
        <v/>
      </c>
      <c r="L25" s="26" t="str">
        <f>IF(AND(L$6&gt;=$B25,L$6&lt;=$C25),1,"")</f>
        <v/>
      </c>
      <c r="M25" s="26" t="str">
        <f>IF(AND(M$6&gt;=$B25,M$6&lt;=$C25),1,"")</f>
        <v/>
      </c>
      <c r="N25" s="26" t="str">
        <f>IF(AND(N$6&gt;=$B25,N$6&lt;=$C25),1,"")</f>
        <v/>
      </c>
      <c r="O25" s="26" t="str">
        <f>IF(AND(O$6&gt;=$B25,O$6&lt;=$C25),1,"")</f>
        <v/>
      </c>
      <c r="P25" s="26" t="str">
        <f>IF(AND(P$6&gt;=$B25,P$6&lt;=$C25),1,"")</f>
        <v/>
      </c>
      <c r="Q25" s="26" t="str">
        <f>IF(AND(Q$6&gt;=$B25,Q$6&lt;=$C25),1,"")</f>
        <v/>
      </c>
      <c r="R25" s="26" t="str">
        <f>IF(AND(R$6&gt;=$B25,R$6&lt;=$C25),1,"")</f>
        <v/>
      </c>
      <c r="S25" s="26" t="str">
        <f>IF(AND(S$6&gt;=$B25,S$6&lt;=$C25),1,"")</f>
        <v/>
      </c>
      <c r="T25" s="26" t="str">
        <f>IF(AND(T$6&gt;=$B25,T$6&lt;=$C25),1,"")</f>
        <v/>
      </c>
      <c r="U25" s="26" t="str">
        <f>IF(AND(U$6&gt;=$B25,U$6&lt;=$C25),1,"")</f>
        <v/>
      </c>
      <c r="V25" s="26" t="str">
        <f>IF(AND(V$6&gt;=$B25,V$6&lt;=$C25),1,"")</f>
        <v/>
      </c>
      <c r="W25" s="26" t="str">
        <f>IF(AND(W$6&gt;=$B25,W$6&lt;=$C25),1,"")</f>
        <v/>
      </c>
      <c r="X25" s="26" t="str">
        <f>IF(AND(X$6&gt;=$B25,X$6&lt;=$C25),1,"")</f>
        <v/>
      </c>
      <c r="Y25" s="26" t="str">
        <f>IF(AND(Y$6&gt;=$B25,Y$6&lt;=$C25),1,"")</f>
        <v/>
      </c>
      <c r="Z25" s="26" t="str">
        <f>IF(AND(Z$6&gt;=$B25,Z$6&lt;=$C25),1,"")</f>
        <v/>
      </c>
      <c r="AA25" s="26" t="str">
        <f>IF(AND(AA$6&gt;=$B25,AA$6&lt;=$C25),1,"")</f>
        <v/>
      </c>
      <c r="AB25" s="26">
        <f>IF(AND(AB$6&gt;=$B25,AB$6&lt;=$C25),1,"")</f>
        <v>1</v>
      </c>
      <c r="AC25" s="26">
        <f>IF(AND(AC$6&gt;=$B25,AC$6&lt;=$C25),1,"")</f>
        <v>1</v>
      </c>
      <c r="AD25" s="26" t="str">
        <f>IF(AND(AD$6&gt;=$B25,AD$6&lt;=$C25),1,"")</f>
        <v/>
      </c>
      <c r="AE25" s="26" t="str">
        <f>IF(AND(AE$6&gt;=$B25,AE$6&lt;=$C25),1,"")</f>
        <v/>
      </c>
      <c r="AF25" s="26" t="str">
        <f>IF(AND(AF$6&gt;=$B25,AF$6&lt;=$C25),1,"")</f>
        <v/>
      </c>
    </row>
    <row r="26" spans="1:32" ht="18" customHeight="1" x14ac:dyDescent="0.25">
      <c r="A26" s="14" t="s">
        <v>87</v>
      </c>
      <c r="B26" s="16">
        <v>46070</v>
      </c>
      <c r="C26" s="16">
        <v>46071</v>
      </c>
      <c r="D26" s="15">
        <f>IF(OR($B26="",$C26=""),"",NETWORKDAYS($B26,$C26))</f>
        <v>2</v>
      </c>
      <c r="E26" s="15" t="s">
        <v>4</v>
      </c>
      <c r="F26" s="5">
        <f>IF($E26="",0,VLOOKUP($E26,_Lists!$A$2:$B$6,2,FALSE)/100)</f>
        <v>0</v>
      </c>
      <c r="G26" s="14"/>
      <c r="H26" s="26" t="str">
        <f>IF(AND(H$6&gt;=$B26,H$6&lt;=$C26),1,"")</f>
        <v/>
      </c>
      <c r="I26" s="26" t="str">
        <f>IF(AND(I$6&gt;=$B26,I$6&lt;=$C26),1,"")</f>
        <v/>
      </c>
      <c r="J26" s="26" t="str">
        <f>IF(AND(J$6&gt;=$B26,J$6&lt;=$C26),1,"")</f>
        <v/>
      </c>
      <c r="K26" s="26" t="str">
        <f>IF(AND(K$6&gt;=$B26,K$6&lt;=$C26),1,"")</f>
        <v/>
      </c>
      <c r="L26" s="26" t="str">
        <f>IF(AND(L$6&gt;=$B26,L$6&lt;=$C26),1,"")</f>
        <v/>
      </c>
      <c r="M26" s="26" t="str">
        <f>IF(AND(M$6&gt;=$B26,M$6&lt;=$C26),1,"")</f>
        <v/>
      </c>
      <c r="N26" s="26" t="str">
        <f>IF(AND(N$6&gt;=$B26,N$6&lt;=$C26),1,"")</f>
        <v/>
      </c>
      <c r="O26" s="26" t="str">
        <f>IF(AND(O$6&gt;=$B26,O$6&lt;=$C26),1,"")</f>
        <v/>
      </c>
      <c r="P26" s="26" t="str">
        <f>IF(AND(P$6&gt;=$B26,P$6&lt;=$C26),1,"")</f>
        <v/>
      </c>
      <c r="Q26" s="26" t="str">
        <f>IF(AND(Q$6&gt;=$B26,Q$6&lt;=$C26),1,"")</f>
        <v/>
      </c>
      <c r="R26" s="26" t="str">
        <f>IF(AND(R$6&gt;=$B26,R$6&lt;=$C26),1,"")</f>
        <v/>
      </c>
      <c r="S26" s="26" t="str">
        <f>IF(AND(S$6&gt;=$B26,S$6&lt;=$C26),1,"")</f>
        <v/>
      </c>
      <c r="T26" s="26" t="str">
        <f>IF(AND(T$6&gt;=$B26,T$6&lt;=$C26),1,"")</f>
        <v/>
      </c>
      <c r="U26" s="26" t="str">
        <f>IF(AND(U$6&gt;=$B26,U$6&lt;=$C26),1,"")</f>
        <v/>
      </c>
      <c r="V26" s="26" t="str">
        <f>IF(AND(V$6&gt;=$B26,V$6&lt;=$C26),1,"")</f>
        <v/>
      </c>
      <c r="W26" s="26" t="str">
        <f>IF(AND(W$6&gt;=$B26,W$6&lt;=$C26),1,"")</f>
        <v/>
      </c>
      <c r="X26" s="26" t="str">
        <f>IF(AND(X$6&gt;=$B26,X$6&lt;=$C26),1,"")</f>
        <v/>
      </c>
      <c r="Y26" s="26" t="str">
        <f>IF(AND(Y$6&gt;=$B26,Y$6&lt;=$C26),1,"")</f>
        <v/>
      </c>
      <c r="Z26" s="26" t="str">
        <f>IF(AND(Z$6&gt;=$B26,Z$6&lt;=$C26),1,"")</f>
        <v/>
      </c>
      <c r="AA26" s="26" t="str">
        <f>IF(AND(AA$6&gt;=$B26,AA$6&lt;=$C26),1,"")</f>
        <v/>
      </c>
      <c r="AB26" s="26" t="str">
        <f>IF(AND(AB$6&gt;=$B26,AB$6&lt;=$C26),1,"")</f>
        <v/>
      </c>
      <c r="AC26" s="26">
        <f>IF(AND(AC$6&gt;=$B26,AC$6&lt;=$C26),1,"")</f>
        <v>1</v>
      </c>
      <c r="AD26" s="26">
        <f>IF(AND(AD$6&gt;=$B26,AD$6&lt;=$C26),1,"")</f>
        <v>1</v>
      </c>
      <c r="AE26" s="26" t="str">
        <f>IF(AND(AE$6&gt;=$B26,AE$6&lt;=$C26),1,"")</f>
        <v/>
      </c>
      <c r="AF26" s="26" t="str">
        <f>IF(AND(AF$6&gt;=$B26,AF$6&lt;=$C26),1,"")</f>
        <v/>
      </c>
    </row>
    <row r="27" spans="1:32" ht="18" customHeight="1" x14ac:dyDescent="0.25">
      <c r="A27" s="14" t="s">
        <v>88</v>
      </c>
      <c r="B27" s="16">
        <v>46071</v>
      </c>
      <c r="C27" s="16">
        <v>46071</v>
      </c>
      <c r="D27" s="15">
        <f>IF(OR($B27="",$C27=""),"",NETWORKDAYS($B27,$C27))</f>
        <v>1</v>
      </c>
      <c r="E27" s="15" t="s">
        <v>4</v>
      </c>
      <c r="F27" s="5">
        <f>IF($E27="",0,VLOOKUP($E27,_Lists!$A$2:$B$6,2,FALSE)/100)</f>
        <v>0</v>
      </c>
      <c r="G27" s="14"/>
      <c r="H27" s="26" t="str">
        <f>IF(AND(H$6&gt;=$B27,H$6&lt;=$C27),1,"")</f>
        <v/>
      </c>
      <c r="I27" s="26" t="str">
        <f>IF(AND(I$6&gt;=$B27,I$6&lt;=$C27),1,"")</f>
        <v/>
      </c>
      <c r="J27" s="26" t="str">
        <f>IF(AND(J$6&gt;=$B27,J$6&lt;=$C27),1,"")</f>
        <v/>
      </c>
      <c r="K27" s="26" t="str">
        <f>IF(AND(K$6&gt;=$B27,K$6&lt;=$C27),1,"")</f>
        <v/>
      </c>
      <c r="L27" s="26" t="str">
        <f>IF(AND(L$6&gt;=$B27,L$6&lt;=$C27),1,"")</f>
        <v/>
      </c>
      <c r="M27" s="26" t="str">
        <f>IF(AND(M$6&gt;=$B27,M$6&lt;=$C27),1,"")</f>
        <v/>
      </c>
      <c r="N27" s="26" t="str">
        <f>IF(AND(N$6&gt;=$B27,N$6&lt;=$C27),1,"")</f>
        <v/>
      </c>
      <c r="O27" s="26" t="str">
        <f>IF(AND(O$6&gt;=$B27,O$6&lt;=$C27),1,"")</f>
        <v/>
      </c>
      <c r="P27" s="26" t="str">
        <f>IF(AND(P$6&gt;=$B27,P$6&lt;=$C27),1,"")</f>
        <v/>
      </c>
      <c r="Q27" s="26" t="str">
        <f>IF(AND(Q$6&gt;=$B27,Q$6&lt;=$C27),1,"")</f>
        <v/>
      </c>
      <c r="R27" s="26" t="str">
        <f>IF(AND(R$6&gt;=$B27,R$6&lt;=$C27),1,"")</f>
        <v/>
      </c>
      <c r="S27" s="26" t="str">
        <f>IF(AND(S$6&gt;=$B27,S$6&lt;=$C27),1,"")</f>
        <v/>
      </c>
      <c r="T27" s="26" t="str">
        <f>IF(AND(T$6&gt;=$B27,T$6&lt;=$C27),1,"")</f>
        <v/>
      </c>
      <c r="U27" s="26" t="str">
        <f>IF(AND(U$6&gt;=$B27,U$6&lt;=$C27),1,"")</f>
        <v/>
      </c>
      <c r="V27" s="26" t="str">
        <f>IF(AND(V$6&gt;=$B27,V$6&lt;=$C27),1,"")</f>
        <v/>
      </c>
      <c r="W27" s="26" t="str">
        <f>IF(AND(W$6&gt;=$B27,W$6&lt;=$C27),1,"")</f>
        <v/>
      </c>
      <c r="X27" s="26" t="str">
        <f>IF(AND(X$6&gt;=$B27,X$6&lt;=$C27),1,"")</f>
        <v/>
      </c>
      <c r="Y27" s="26" t="str">
        <f>IF(AND(Y$6&gt;=$B27,Y$6&lt;=$C27),1,"")</f>
        <v/>
      </c>
      <c r="Z27" s="26" t="str">
        <f>IF(AND(Z$6&gt;=$B27,Z$6&lt;=$C27),1,"")</f>
        <v/>
      </c>
      <c r="AA27" s="26" t="str">
        <f>IF(AND(AA$6&gt;=$B27,AA$6&lt;=$C27),1,"")</f>
        <v/>
      </c>
      <c r="AB27" s="26" t="str">
        <f>IF(AND(AB$6&gt;=$B27,AB$6&lt;=$C27),1,"")</f>
        <v/>
      </c>
      <c r="AC27" s="26" t="str">
        <f>IF(AND(AC$6&gt;=$B27,AC$6&lt;=$C27),1,"")</f>
        <v/>
      </c>
      <c r="AD27" s="26">
        <f>IF(AND(AD$6&gt;=$B27,AD$6&lt;=$C27),1,"")</f>
        <v>1</v>
      </c>
      <c r="AE27" s="26" t="str">
        <f>IF(AND(AE$6&gt;=$B27,AE$6&lt;=$C27),1,"")</f>
        <v/>
      </c>
      <c r="AF27" s="26" t="str">
        <f>IF(AND(AF$6&gt;=$B27,AF$6&lt;=$C27),1,"")</f>
        <v/>
      </c>
    </row>
    <row r="28" spans="1:32" ht="18" customHeight="1" x14ac:dyDescent="0.25">
      <c r="A28" s="14" t="s">
        <v>89</v>
      </c>
      <c r="B28" s="16">
        <v>46071</v>
      </c>
      <c r="C28" s="16">
        <v>46072</v>
      </c>
      <c r="D28" s="15">
        <f>IF(OR($B28="",$C28=""),"",NETWORKDAYS($B28,$C28))</f>
        <v>2</v>
      </c>
      <c r="E28" s="15" t="s">
        <v>4</v>
      </c>
      <c r="F28" s="5">
        <f>IF($E28="",0,VLOOKUP($E28,_Lists!$A$2:$B$6,2,FALSE)/100)</f>
        <v>0</v>
      </c>
      <c r="G28" s="14"/>
      <c r="H28" s="26" t="str">
        <f>IF(AND(H$6&gt;=$B28,H$6&lt;=$C28),1,"")</f>
        <v/>
      </c>
      <c r="I28" s="26" t="str">
        <f>IF(AND(I$6&gt;=$B28,I$6&lt;=$C28),1,"")</f>
        <v/>
      </c>
      <c r="J28" s="26" t="str">
        <f>IF(AND(J$6&gt;=$B28,J$6&lt;=$C28),1,"")</f>
        <v/>
      </c>
      <c r="K28" s="26" t="str">
        <f>IF(AND(K$6&gt;=$B28,K$6&lt;=$C28),1,"")</f>
        <v/>
      </c>
      <c r="L28" s="26" t="str">
        <f>IF(AND(L$6&gt;=$B28,L$6&lt;=$C28),1,"")</f>
        <v/>
      </c>
      <c r="M28" s="26" t="str">
        <f>IF(AND(M$6&gt;=$B28,M$6&lt;=$C28),1,"")</f>
        <v/>
      </c>
      <c r="N28" s="26" t="str">
        <f>IF(AND(N$6&gt;=$B28,N$6&lt;=$C28),1,"")</f>
        <v/>
      </c>
      <c r="O28" s="26" t="str">
        <f>IF(AND(O$6&gt;=$B28,O$6&lt;=$C28),1,"")</f>
        <v/>
      </c>
      <c r="P28" s="26" t="str">
        <f>IF(AND(P$6&gt;=$B28,P$6&lt;=$C28),1,"")</f>
        <v/>
      </c>
      <c r="Q28" s="26" t="str">
        <f>IF(AND(Q$6&gt;=$B28,Q$6&lt;=$C28),1,"")</f>
        <v/>
      </c>
      <c r="R28" s="26" t="str">
        <f>IF(AND(R$6&gt;=$B28,R$6&lt;=$C28),1,"")</f>
        <v/>
      </c>
      <c r="S28" s="26" t="str">
        <f>IF(AND(S$6&gt;=$B28,S$6&lt;=$C28),1,"")</f>
        <v/>
      </c>
      <c r="T28" s="26" t="str">
        <f>IF(AND(T$6&gt;=$B28,T$6&lt;=$C28),1,"")</f>
        <v/>
      </c>
      <c r="U28" s="26" t="str">
        <f>IF(AND(U$6&gt;=$B28,U$6&lt;=$C28),1,"")</f>
        <v/>
      </c>
      <c r="V28" s="26" t="str">
        <f>IF(AND(V$6&gt;=$B28,V$6&lt;=$C28),1,"")</f>
        <v/>
      </c>
      <c r="W28" s="26" t="str">
        <f>IF(AND(W$6&gt;=$B28,W$6&lt;=$C28),1,"")</f>
        <v/>
      </c>
      <c r="X28" s="26" t="str">
        <f>IF(AND(X$6&gt;=$B28,X$6&lt;=$C28),1,"")</f>
        <v/>
      </c>
      <c r="Y28" s="26" t="str">
        <f>IF(AND(Y$6&gt;=$B28,Y$6&lt;=$C28),1,"")</f>
        <v/>
      </c>
      <c r="Z28" s="26" t="str">
        <f>IF(AND(Z$6&gt;=$B28,Z$6&lt;=$C28),1,"")</f>
        <v/>
      </c>
      <c r="AA28" s="26" t="str">
        <f>IF(AND(AA$6&gt;=$B28,AA$6&lt;=$C28),1,"")</f>
        <v/>
      </c>
      <c r="AB28" s="26" t="str">
        <f>IF(AND(AB$6&gt;=$B28,AB$6&lt;=$C28),1,"")</f>
        <v/>
      </c>
      <c r="AC28" s="26" t="str">
        <f>IF(AND(AC$6&gt;=$B28,AC$6&lt;=$C28),1,"")</f>
        <v/>
      </c>
      <c r="AD28" s="26">
        <f>IF(AND(AD$6&gt;=$B28,AD$6&lt;=$C28),1,"")</f>
        <v>1</v>
      </c>
      <c r="AE28" s="26">
        <f>IF(AND(AE$6&gt;=$B28,AE$6&lt;=$C28),1,"")</f>
        <v>1</v>
      </c>
      <c r="AF28" s="26" t="str">
        <f>IF(AND(AF$6&gt;=$B28,AF$6&lt;=$C28),1,"")</f>
        <v/>
      </c>
    </row>
    <row r="29" spans="1:32" ht="18" customHeight="1" x14ac:dyDescent="0.25">
      <c r="A29" s="14" t="s">
        <v>90</v>
      </c>
      <c r="B29" s="16">
        <v>46056</v>
      </c>
      <c r="C29" s="16">
        <v>46072</v>
      </c>
      <c r="D29" s="15">
        <f>IF(OR($B29="",$C29=""),"",NETWORKDAYS($B29,$C29))</f>
        <v>13</v>
      </c>
      <c r="E29" s="15" t="s">
        <v>4</v>
      </c>
      <c r="F29" s="5">
        <f>IF($E29="",0,VLOOKUP($E29,_Lists!$A$2:$B$6,2,FALSE)/100)</f>
        <v>0</v>
      </c>
      <c r="G29" s="14"/>
      <c r="H29" s="26" t="str">
        <f>IF(AND(H$6&gt;=$B29,H$6&lt;=$C29),1,"")</f>
        <v/>
      </c>
      <c r="I29" s="26" t="str">
        <f>IF(AND(I$6&gt;=$B29,I$6&lt;=$C29),1,"")</f>
        <v/>
      </c>
      <c r="J29" s="26" t="str">
        <f>IF(AND(J$6&gt;=$B29,J$6&lt;=$C29),1,"")</f>
        <v/>
      </c>
      <c r="K29" s="26" t="str">
        <f>IF(AND(K$6&gt;=$B29,K$6&lt;=$C29),1,"")</f>
        <v/>
      </c>
      <c r="L29" s="26" t="str">
        <f>IF(AND(L$6&gt;=$B29,L$6&lt;=$C29),1,"")</f>
        <v/>
      </c>
      <c r="M29" s="26" t="str">
        <f>IF(AND(M$6&gt;=$B29,M$6&lt;=$C29),1,"")</f>
        <v/>
      </c>
      <c r="N29" s="26" t="str">
        <f>IF(AND(N$6&gt;=$B29,N$6&lt;=$C29),1,"")</f>
        <v/>
      </c>
      <c r="O29" s="26" t="str">
        <f>IF(AND(O$6&gt;=$B29,O$6&lt;=$C29),1,"")</f>
        <v/>
      </c>
      <c r="P29" s="26" t="str">
        <f>IF(AND(P$6&gt;=$B29,P$6&lt;=$C29),1,"")</f>
        <v/>
      </c>
      <c r="Q29" s="26" t="str">
        <f>IF(AND(Q$6&gt;=$B29,Q$6&lt;=$C29),1,"")</f>
        <v/>
      </c>
      <c r="R29" s="26" t="str">
        <f>IF(AND(R$6&gt;=$B29,R$6&lt;=$C29),1,"")</f>
        <v/>
      </c>
      <c r="S29" s="26">
        <f>IF(AND(S$6&gt;=$B29,S$6&lt;=$C29),1,"")</f>
        <v>1</v>
      </c>
      <c r="T29" s="26">
        <f>IF(AND(T$6&gt;=$B29,T$6&lt;=$C29),1,"")</f>
        <v>1</v>
      </c>
      <c r="U29" s="26">
        <f>IF(AND(U$6&gt;=$B29,U$6&lt;=$C29),1,"")</f>
        <v>1</v>
      </c>
      <c r="V29" s="26">
        <f>IF(AND(V$6&gt;=$B29,V$6&lt;=$C29),1,"")</f>
        <v>1</v>
      </c>
      <c r="W29" s="26">
        <f>IF(AND(W$6&gt;=$B29,W$6&lt;=$C29),1,"")</f>
        <v>1</v>
      </c>
      <c r="X29" s="26">
        <f>IF(AND(X$6&gt;=$B29,X$6&lt;=$C29),1,"")</f>
        <v>1</v>
      </c>
      <c r="Y29" s="26">
        <f>IF(AND(Y$6&gt;=$B29,Y$6&lt;=$C29),1,"")</f>
        <v>1</v>
      </c>
      <c r="Z29" s="26">
        <f>IF(AND(Z$6&gt;=$B29,Z$6&lt;=$C29),1,"")</f>
        <v>1</v>
      </c>
      <c r="AA29" s="26">
        <f>IF(AND(AA$6&gt;=$B29,AA$6&lt;=$C29),1,"")</f>
        <v>1</v>
      </c>
      <c r="AB29" s="26">
        <f>IF(AND(AB$6&gt;=$B29,AB$6&lt;=$C29),1,"")</f>
        <v>1</v>
      </c>
      <c r="AC29" s="26">
        <f>IF(AND(AC$6&gt;=$B29,AC$6&lt;=$C29),1,"")</f>
        <v>1</v>
      </c>
      <c r="AD29" s="26">
        <f>IF(AND(AD$6&gt;=$B29,AD$6&lt;=$C29),1,"")</f>
        <v>1</v>
      </c>
      <c r="AE29" s="26">
        <f>IF(AND(AE$6&gt;=$B29,AE$6&lt;=$C29),1,"")</f>
        <v>1</v>
      </c>
      <c r="AF29" s="26" t="str">
        <f>IF(AND(AF$6&gt;=$B29,AF$6&lt;=$C29),1,"")</f>
        <v/>
      </c>
    </row>
    <row r="30" spans="1:32" ht="18" customHeight="1" x14ac:dyDescent="0.25">
      <c r="A30" s="14" t="s">
        <v>91</v>
      </c>
      <c r="B30" s="16">
        <v>46072</v>
      </c>
      <c r="C30" s="16">
        <v>46073</v>
      </c>
      <c r="D30" s="15">
        <f>IF(OR($B30="",$C30=""),"",NETWORKDAYS($B30,$C30))</f>
        <v>2</v>
      </c>
      <c r="E30" s="15" t="s">
        <v>4</v>
      </c>
      <c r="F30" s="5">
        <f>IF($E30="",0,VLOOKUP($E30,_Lists!$A$2:$B$6,2,FALSE)/100)</f>
        <v>0</v>
      </c>
      <c r="G30" s="14"/>
      <c r="H30" s="26" t="str">
        <f>IF(AND(H$6&gt;=$B30,H$6&lt;=$C30),1,"")</f>
        <v/>
      </c>
      <c r="I30" s="26" t="str">
        <f>IF(AND(I$6&gt;=$B30,I$6&lt;=$C30),1,"")</f>
        <v/>
      </c>
      <c r="J30" s="26" t="str">
        <f>IF(AND(J$6&gt;=$B30,J$6&lt;=$C30),1,"")</f>
        <v/>
      </c>
      <c r="K30" s="26" t="str">
        <f>IF(AND(K$6&gt;=$B30,K$6&lt;=$C30),1,"")</f>
        <v/>
      </c>
      <c r="L30" s="26" t="str">
        <f>IF(AND(L$6&gt;=$B30,L$6&lt;=$C30),1,"")</f>
        <v/>
      </c>
      <c r="M30" s="26" t="str">
        <f>IF(AND(M$6&gt;=$B30,M$6&lt;=$C30),1,"")</f>
        <v/>
      </c>
      <c r="N30" s="26" t="str">
        <f>IF(AND(N$6&gt;=$B30,N$6&lt;=$C30),1,"")</f>
        <v/>
      </c>
      <c r="O30" s="26" t="str">
        <f>IF(AND(O$6&gt;=$B30,O$6&lt;=$C30),1,"")</f>
        <v/>
      </c>
      <c r="P30" s="26" t="str">
        <f>IF(AND(P$6&gt;=$B30,P$6&lt;=$C30),1,"")</f>
        <v/>
      </c>
      <c r="Q30" s="26" t="str">
        <f>IF(AND(Q$6&gt;=$B30,Q$6&lt;=$C30),1,"")</f>
        <v/>
      </c>
      <c r="R30" s="26" t="str">
        <f>IF(AND(R$6&gt;=$B30,R$6&lt;=$C30),1,"")</f>
        <v/>
      </c>
      <c r="S30" s="26" t="str">
        <f>IF(AND(S$6&gt;=$B30,S$6&lt;=$C30),1,"")</f>
        <v/>
      </c>
      <c r="T30" s="26" t="str">
        <f>IF(AND(T$6&gt;=$B30,T$6&lt;=$C30),1,"")</f>
        <v/>
      </c>
      <c r="U30" s="26" t="str">
        <f>IF(AND(U$6&gt;=$B30,U$6&lt;=$C30),1,"")</f>
        <v/>
      </c>
      <c r="V30" s="26" t="str">
        <f>IF(AND(V$6&gt;=$B30,V$6&lt;=$C30),1,"")</f>
        <v/>
      </c>
      <c r="W30" s="26" t="str">
        <f>IF(AND(W$6&gt;=$B30,W$6&lt;=$C30),1,"")</f>
        <v/>
      </c>
      <c r="X30" s="26" t="str">
        <f>IF(AND(X$6&gt;=$B30,X$6&lt;=$C30),1,"")</f>
        <v/>
      </c>
      <c r="Y30" s="26" t="str">
        <f>IF(AND(Y$6&gt;=$B30,Y$6&lt;=$C30),1,"")</f>
        <v/>
      </c>
      <c r="Z30" s="26" t="str">
        <f>IF(AND(Z$6&gt;=$B30,Z$6&lt;=$C30),1,"")</f>
        <v/>
      </c>
      <c r="AA30" s="26" t="str">
        <f>IF(AND(AA$6&gt;=$B30,AA$6&lt;=$C30),1,"")</f>
        <v/>
      </c>
      <c r="AB30" s="26" t="str">
        <f>IF(AND(AB$6&gt;=$B30,AB$6&lt;=$C30),1,"")</f>
        <v/>
      </c>
      <c r="AC30" s="26" t="str">
        <f>IF(AND(AC$6&gt;=$B30,AC$6&lt;=$C30),1,"")</f>
        <v/>
      </c>
      <c r="AD30" s="26" t="str">
        <f>IF(AND(AD$6&gt;=$B30,AD$6&lt;=$C30),1,"")</f>
        <v/>
      </c>
      <c r="AE30" s="26">
        <f>IF(AND(AE$6&gt;=$B30,AE$6&lt;=$C30),1,"")</f>
        <v>1</v>
      </c>
      <c r="AF30" s="26">
        <f>IF(AND(AF$6&gt;=$B30,AF$6&lt;=$C30),1,"")</f>
        <v>1</v>
      </c>
    </row>
    <row r="31" spans="1:32" ht="18" customHeight="1" x14ac:dyDescent="0.25">
      <c r="A31" s="14" t="s">
        <v>92</v>
      </c>
      <c r="B31" s="16">
        <v>46069</v>
      </c>
      <c r="C31" s="16">
        <v>46073</v>
      </c>
      <c r="D31" s="15">
        <f>IF(OR($B31="",$C31=""),"",NETWORKDAYS($B31,$C31))</f>
        <v>5</v>
      </c>
      <c r="E31" s="15" t="s">
        <v>43</v>
      </c>
      <c r="F31" s="5">
        <f>IF($E31="",0,VLOOKUP($E31,_Lists!$A$2:$B$6,2,FALSE)/100)</f>
        <v>0</v>
      </c>
      <c r="G31" s="14"/>
      <c r="H31" s="26" t="str">
        <f>IF(AND(H$6&gt;=$B31,H$6&lt;=$C31),1,"")</f>
        <v/>
      </c>
      <c r="I31" s="26" t="str">
        <f>IF(AND(I$6&gt;=$B31,I$6&lt;=$C31),1,"")</f>
        <v/>
      </c>
      <c r="J31" s="26" t="str">
        <f>IF(AND(J$6&gt;=$B31,J$6&lt;=$C31),1,"")</f>
        <v/>
      </c>
      <c r="K31" s="26" t="str">
        <f>IF(AND(K$6&gt;=$B31,K$6&lt;=$C31),1,"")</f>
        <v/>
      </c>
      <c r="L31" s="26" t="str">
        <f>IF(AND(L$6&gt;=$B31,L$6&lt;=$C31),1,"")</f>
        <v/>
      </c>
      <c r="M31" s="26" t="str">
        <f>IF(AND(M$6&gt;=$B31,M$6&lt;=$C31),1,"")</f>
        <v/>
      </c>
      <c r="N31" s="26" t="str">
        <f>IF(AND(N$6&gt;=$B31,N$6&lt;=$C31),1,"")</f>
        <v/>
      </c>
      <c r="O31" s="26" t="str">
        <f>IF(AND(O$6&gt;=$B31,O$6&lt;=$C31),1,"")</f>
        <v/>
      </c>
      <c r="P31" s="26" t="str">
        <f>IF(AND(P$6&gt;=$B31,P$6&lt;=$C31),1,"")</f>
        <v/>
      </c>
      <c r="Q31" s="26" t="str">
        <f>IF(AND(Q$6&gt;=$B31,Q$6&lt;=$C31),1,"")</f>
        <v/>
      </c>
      <c r="R31" s="26" t="str">
        <f>IF(AND(R$6&gt;=$B31,R$6&lt;=$C31),1,"")</f>
        <v/>
      </c>
      <c r="S31" s="26" t="str">
        <f>IF(AND(S$6&gt;=$B31,S$6&lt;=$C31),1,"")</f>
        <v/>
      </c>
      <c r="T31" s="26" t="str">
        <f>IF(AND(T$6&gt;=$B31,T$6&lt;=$C31),1,"")</f>
        <v/>
      </c>
      <c r="U31" s="26" t="str">
        <f>IF(AND(U$6&gt;=$B31,U$6&lt;=$C31),1,"")</f>
        <v/>
      </c>
      <c r="V31" s="26" t="str">
        <f>IF(AND(V$6&gt;=$B31,V$6&lt;=$C31),1,"")</f>
        <v/>
      </c>
      <c r="W31" s="26" t="str">
        <f>IF(AND(W$6&gt;=$B31,W$6&lt;=$C31),1,"")</f>
        <v/>
      </c>
      <c r="X31" s="26" t="str">
        <f>IF(AND(X$6&gt;=$B31,X$6&lt;=$C31),1,"")</f>
        <v/>
      </c>
      <c r="Y31" s="26" t="str">
        <f>IF(AND(Y$6&gt;=$B31,Y$6&lt;=$C31),1,"")</f>
        <v/>
      </c>
      <c r="Z31" s="26" t="str">
        <f>IF(AND(Z$6&gt;=$B31,Z$6&lt;=$C31),1,"")</f>
        <v/>
      </c>
      <c r="AA31" s="26" t="str">
        <f>IF(AND(AA$6&gt;=$B31,AA$6&lt;=$C31),1,"")</f>
        <v/>
      </c>
      <c r="AB31" s="26">
        <f>IF(AND(AB$6&gt;=$B31,AB$6&lt;=$C31),1,"")</f>
        <v>1</v>
      </c>
      <c r="AC31" s="26">
        <f>IF(AND(AC$6&gt;=$B31,AC$6&lt;=$C31),1,"")</f>
        <v>1</v>
      </c>
      <c r="AD31" s="26">
        <f>IF(AND(AD$6&gt;=$B31,AD$6&lt;=$C31),1,"")</f>
        <v>1</v>
      </c>
      <c r="AE31" s="26">
        <f>IF(AND(AE$6&gt;=$B31,AE$6&lt;=$C31),1,"")</f>
        <v>1</v>
      </c>
      <c r="AF31" s="26">
        <f>IF(AND(AF$6&gt;=$B31,AF$6&lt;=$C31),1,"")</f>
        <v>1</v>
      </c>
    </row>
  </sheetData>
  <mergeCells count="3">
    <mergeCell ref="A2:AH2"/>
    <mergeCell ref="A1:AH1"/>
    <mergeCell ref="A5:G5"/>
  </mergeCells>
  <conditionalFormatting sqref="E7:E31">
    <cfRule type="expression" dxfId="30" priority="6" stopIfTrue="1">
      <formula>E7="Not Started"</formula>
    </cfRule>
    <cfRule type="expression" dxfId="29" priority="7" stopIfTrue="1">
      <formula>E7="In Progress"</formula>
    </cfRule>
    <cfRule type="expression" dxfId="28" priority="8" stopIfTrue="1">
      <formula>E7="Done"</formula>
    </cfRule>
    <cfRule type="expression" dxfId="27" priority="9" stopIfTrue="1">
      <formula>E7="Blocked"</formula>
    </cfRule>
    <cfRule type="expression" dxfId="26" priority="10" stopIfTrue="1">
      <formula>E7="Optional"</formula>
    </cfRule>
  </conditionalFormatting>
  <conditionalFormatting sqref="F7:F31">
    <cfRule type="dataBar" priority="11">
      <dataBar>
        <cfvo type="num" val="0"/>
        <cfvo type="num" val="1"/>
        <color rgb="FF5C3D99"/>
      </dataBar>
    </cfRule>
  </conditionalFormatting>
  <conditionalFormatting sqref="H5:AF6">
    <cfRule type="expression" dxfId="25" priority="12">
      <formula>H$6=TODAY()</formula>
    </cfRule>
  </conditionalFormatting>
  <conditionalFormatting sqref="H7:AF31">
    <cfRule type="expression" dxfId="24" priority="1" stopIfTrue="1">
      <formula>AND(H7&lt;&gt;"",$E7="Not Started")</formula>
    </cfRule>
    <cfRule type="expression" dxfId="23" priority="2" stopIfTrue="1">
      <formula>AND(H7&lt;&gt;"",$E7="In Progress")</formula>
    </cfRule>
    <cfRule type="expression" dxfId="22" priority="3" stopIfTrue="1">
      <formula>AND(H7&lt;&gt;"",$E7="Done")</formula>
    </cfRule>
    <cfRule type="expression" dxfId="21" priority="4" stopIfTrue="1">
      <formula>AND(H7&lt;&gt;"",$E7="Blocked")</formula>
    </cfRule>
    <cfRule type="expression" dxfId="20" priority="5" stopIfTrue="1">
      <formula>AND(H7&lt;&gt;"",$E7="Optional")</formula>
    </cfRule>
  </conditionalFormatting>
  <dataValidations count="1">
    <dataValidation type="list" allowBlank="1" showDropDown="1" errorTitle="Invalid entry" error="Select a value from the list." promptTitle="Select" prompt="Choose from dropdown." sqref="E7:E200" xr:uid="{00000000-0002-0000-0100-000000000000}">
      <formula1>GlobalStatusList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pane ySplit="6" topLeftCell="A7" activePane="bottomLeft" state="frozen"/>
      <selection pane="bottomLeft" sqref="A1:L1"/>
    </sheetView>
  </sheetViews>
  <sheetFormatPr defaultRowHeight="15" x14ac:dyDescent="0.25"/>
  <cols>
    <col min="1" max="1" width="36" customWidth="1"/>
    <col min="2" max="2" width="6" customWidth="1"/>
    <col min="3" max="3" width="14" customWidth="1"/>
    <col min="4" max="4" width="10" customWidth="1"/>
    <col min="5" max="5" width="12" customWidth="1"/>
    <col min="6" max="6" width="10" customWidth="1"/>
    <col min="7" max="7" width="12" customWidth="1"/>
    <col min="8" max="8" width="18" customWidth="1"/>
    <col min="9" max="9" width="24" customWidth="1"/>
    <col min="10" max="10" width="2" customWidth="1"/>
    <col min="11" max="11" width="14" customWidth="1"/>
    <col min="12" max="12" width="10" customWidth="1"/>
  </cols>
  <sheetData>
    <row r="1" spans="1:12" ht="33.950000000000003" customHeight="1" x14ac:dyDescent="0.25">
      <c r="A1" s="38" t="s">
        <v>93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0.100000000000001" customHeight="1" x14ac:dyDescent="0.25">
      <c r="A2" s="37" t="s">
        <v>94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x14ac:dyDescent="0.25">
      <c r="A3" s="28" t="s">
        <v>95</v>
      </c>
      <c r="K3" s="13" t="s">
        <v>96</v>
      </c>
      <c r="L3" s="13" t="s">
        <v>29</v>
      </c>
    </row>
    <row r="4" spans="1:12" x14ac:dyDescent="0.25">
      <c r="A4" s="1" t="s">
        <v>97</v>
      </c>
      <c r="B4" s="15">
        <f>COUNTIF($A$7:$A$200,"&lt;&gt;")-COUNTIF($E$7:$E$200,"Optional")</f>
        <v>13</v>
      </c>
      <c r="K4" s="14" t="s">
        <v>98</v>
      </c>
      <c r="L4" s="15">
        <f>COUNTIF($E$7:$E$200,"To Get")</f>
        <v>6</v>
      </c>
    </row>
    <row r="5" spans="1:12" x14ac:dyDescent="0.25">
      <c r="A5" s="1" t="s">
        <v>99</v>
      </c>
      <c r="B5" s="15">
        <f>COUNTIF($E$7:$E$200,"Received")</f>
        <v>5</v>
      </c>
      <c r="K5" s="29" t="s">
        <v>100</v>
      </c>
      <c r="L5" s="15">
        <f>COUNTIF($E$7:$E$200,"To Buy")</f>
        <v>1</v>
      </c>
    </row>
    <row r="6" spans="1:12" ht="20.100000000000001" customHeight="1" x14ac:dyDescent="0.25">
      <c r="A6" s="12" t="s">
        <v>101</v>
      </c>
      <c r="B6" s="12" t="s">
        <v>102</v>
      </c>
      <c r="C6" s="12" t="s">
        <v>103</v>
      </c>
      <c r="D6" s="12" t="s">
        <v>104</v>
      </c>
      <c r="E6" s="12" t="s">
        <v>24</v>
      </c>
      <c r="F6" s="12" t="s">
        <v>105</v>
      </c>
      <c r="G6" s="12" t="s">
        <v>106</v>
      </c>
      <c r="H6" s="12" t="s">
        <v>107</v>
      </c>
      <c r="I6" s="12" t="s">
        <v>27</v>
      </c>
      <c r="K6" s="14" t="s">
        <v>108</v>
      </c>
      <c r="L6" s="15">
        <f>COUNTIF($E$7:$E$200,"Ordered")</f>
        <v>1</v>
      </c>
    </row>
    <row r="7" spans="1:12" x14ac:dyDescent="0.25">
      <c r="A7" s="1" t="s">
        <v>109</v>
      </c>
      <c r="B7" s="30">
        <v>1</v>
      </c>
      <c r="C7" s="15" t="s">
        <v>110</v>
      </c>
      <c r="D7" s="15" t="s">
        <v>111</v>
      </c>
      <c r="E7" s="15" t="s">
        <v>32</v>
      </c>
      <c r="F7" s="30">
        <v>0</v>
      </c>
      <c r="G7" s="30">
        <f t="shared" ref="G7:G21" si="0">IF(OR($B7="",$F7=""),"",$B7*$F7)</f>
        <v>0</v>
      </c>
      <c r="H7" s="14"/>
      <c r="I7" s="14"/>
      <c r="K7" s="14" t="s">
        <v>32</v>
      </c>
      <c r="L7" s="15">
        <f>COUNTIF($E$7:$E$200,"Received")</f>
        <v>5</v>
      </c>
    </row>
    <row r="8" spans="1:12" x14ac:dyDescent="0.25">
      <c r="A8" s="1" t="s">
        <v>112</v>
      </c>
      <c r="B8" s="30">
        <v>1</v>
      </c>
      <c r="C8" s="15" t="s">
        <v>110</v>
      </c>
      <c r="D8" s="15" t="s">
        <v>111</v>
      </c>
      <c r="E8" s="15" t="s">
        <v>98</v>
      </c>
      <c r="F8" s="30">
        <v>0</v>
      </c>
      <c r="G8" s="30">
        <f t="shared" si="0"/>
        <v>0</v>
      </c>
      <c r="H8" s="14"/>
      <c r="I8" s="14"/>
      <c r="K8" s="14" t="s">
        <v>43</v>
      </c>
      <c r="L8" s="15">
        <f>COUNTIF($E$7:$E$200,"Optional")</f>
        <v>2</v>
      </c>
    </row>
    <row r="9" spans="1:12" x14ac:dyDescent="0.25">
      <c r="A9" s="1" t="s">
        <v>113</v>
      </c>
      <c r="B9" s="30">
        <v>1</v>
      </c>
      <c r="C9" s="15" t="s">
        <v>114</v>
      </c>
      <c r="D9" s="15" t="s">
        <v>111</v>
      </c>
      <c r="E9" s="15" t="s">
        <v>100</v>
      </c>
      <c r="F9" s="30">
        <v>5</v>
      </c>
      <c r="G9" s="30">
        <f t="shared" si="0"/>
        <v>5</v>
      </c>
      <c r="H9" s="14"/>
      <c r="I9" s="14"/>
    </row>
    <row r="10" spans="1:12" x14ac:dyDescent="0.25">
      <c r="A10" s="1" t="s">
        <v>115</v>
      </c>
      <c r="B10" s="5">
        <v>1</v>
      </c>
      <c r="C10" s="15" t="s">
        <v>110</v>
      </c>
      <c r="D10" s="15" t="s">
        <v>111</v>
      </c>
      <c r="E10" s="15" t="s">
        <v>98</v>
      </c>
      <c r="F10" s="30">
        <v>0</v>
      </c>
      <c r="G10" s="30">
        <f t="shared" si="0"/>
        <v>0</v>
      </c>
      <c r="H10" s="14"/>
      <c r="I10" s="14"/>
    </row>
    <row r="11" spans="1:12" x14ac:dyDescent="0.25">
      <c r="A11" s="14" t="s">
        <v>116</v>
      </c>
      <c r="B11" s="15">
        <v>1</v>
      </c>
      <c r="C11" s="15" t="s">
        <v>110</v>
      </c>
      <c r="D11" s="15" t="s">
        <v>117</v>
      </c>
      <c r="E11" s="15" t="s">
        <v>98</v>
      </c>
      <c r="F11" s="30">
        <v>0</v>
      </c>
      <c r="G11" s="30">
        <f t="shared" si="0"/>
        <v>0</v>
      </c>
      <c r="H11" s="14"/>
      <c r="I11" s="14"/>
    </row>
    <row r="12" spans="1:12" x14ac:dyDescent="0.25">
      <c r="A12" s="14" t="s">
        <v>118</v>
      </c>
      <c r="B12" s="15">
        <v>1</v>
      </c>
      <c r="C12" s="15" t="s">
        <v>110</v>
      </c>
      <c r="D12" s="15" t="s">
        <v>119</v>
      </c>
      <c r="E12" s="15" t="s">
        <v>43</v>
      </c>
      <c r="F12" s="30">
        <v>0</v>
      </c>
      <c r="G12" s="30">
        <f t="shared" si="0"/>
        <v>0</v>
      </c>
      <c r="H12" s="14"/>
      <c r="I12" s="14"/>
    </row>
    <row r="13" spans="1:12" x14ac:dyDescent="0.25">
      <c r="A13" s="14" t="s">
        <v>120</v>
      </c>
      <c r="B13" s="15">
        <v>1</v>
      </c>
      <c r="C13" s="15" t="s">
        <v>110</v>
      </c>
      <c r="D13" s="15" t="s">
        <v>111</v>
      </c>
      <c r="E13" s="15" t="s">
        <v>98</v>
      </c>
      <c r="F13" s="30">
        <v>0</v>
      </c>
      <c r="G13" s="30">
        <f t="shared" si="0"/>
        <v>0</v>
      </c>
      <c r="H13" s="14"/>
      <c r="I13" s="14"/>
    </row>
    <row r="14" spans="1:12" x14ac:dyDescent="0.25">
      <c r="A14" s="14" t="s">
        <v>121</v>
      </c>
      <c r="B14" s="15">
        <v>1</v>
      </c>
      <c r="C14" s="15" t="s">
        <v>110</v>
      </c>
      <c r="D14" s="15" t="s">
        <v>117</v>
      </c>
      <c r="E14" s="15" t="s">
        <v>98</v>
      </c>
      <c r="F14" s="30">
        <v>0</v>
      </c>
      <c r="G14" s="30">
        <f t="shared" si="0"/>
        <v>0</v>
      </c>
      <c r="H14" s="14"/>
      <c r="I14" s="14"/>
    </row>
    <row r="15" spans="1:12" x14ac:dyDescent="0.25">
      <c r="A15" s="14" t="s">
        <v>122</v>
      </c>
      <c r="B15" s="15">
        <v>1</v>
      </c>
      <c r="C15" s="15" t="s">
        <v>110</v>
      </c>
      <c r="D15" s="15" t="s">
        <v>117</v>
      </c>
      <c r="E15" s="15" t="s">
        <v>98</v>
      </c>
      <c r="F15" s="30">
        <v>0</v>
      </c>
      <c r="G15" s="30">
        <f t="shared" si="0"/>
        <v>0</v>
      </c>
      <c r="H15" s="14"/>
      <c r="I15" s="14"/>
    </row>
    <row r="16" spans="1:12" x14ac:dyDescent="0.25">
      <c r="A16" s="14" t="s">
        <v>123</v>
      </c>
      <c r="B16" s="15">
        <v>1</v>
      </c>
      <c r="C16" s="15" t="s">
        <v>110</v>
      </c>
      <c r="D16" s="15" t="s">
        <v>117</v>
      </c>
      <c r="E16" s="15" t="s">
        <v>32</v>
      </c>
      <c r="F16" s="30">
        <v>0</v>
      </c>
      <c r="G16" s="30">
        <f t="shared" si="0"/>
        <v>0</v>
      </c>
      <c r="H16" s="14"/>
      <c r="I16" s="14"/>
    </row>
    <row r="17" spans="1:12" ht="30" x14ac:dyDescent="0.25">
      <c r="A17" s="14" t="s">
        <v>124</v>
      </c>
      <c r="B17" s="15">
        <v>1</v>
      </c>
      <c r="C17" s="15" t="s">
        <v>110</v>
      </c>
      <c r="D17" s="15" t="s">
        <v>117</v>
      </c>
      <c r="E17" s="15" t="s">
        <v>32</v>
      </c>
      <c r="F17" s="30">
        <v>0</v>
      </c>
      <c r="G17" s="30">
        <f t="shared" si="0"/>
        <v>0</v>
      </c>
      <c r="H17" s="14"/>
      <c r="I17" s="14"/>
    </row>
    <row r="18" spans="1:12" x14ac:dyDescent="0.25">
      <c r="A18" s="14" t="s">
        <v>125</v>
      </c>
      <c r="B18" s="15">
        <v>1</v>
      </c>
      <c r="C18" s="15" t="s">
        <v>110</v>
      </c>
      <c r="D18" s="15" t="s">
        <v>119</v>
      </c>
      <c r="E18" s="15" t="s">
        <v>32</v>
      </c>
      <c r="F18" s="30">
        <v>0</v>
      </c>
      <c r="G18" s="30">
        <f t="shared" si="0"/>
        <v>0</v>
      </c>
      <c r="H18" s="14"/>
      <c r="I18" s="14"/>
      <c r="K18" s="13" t="s">
        <v>126</v>
      </c>
      <c r="L18" s="13" t="s">
        <v>127</v>
      </c>
    </row>
    <row r="19" spans="1:12" x14ac:dyDescent="0.25">
      <c r="A19" s="14" t="s">
        <v>128</v>
      </c>
      <c r="B19" s="15">
        <v>1</v>
      </c>
      <c r="C19" s="15" t="s">
        <v>110</v>
      </c>
      <c r="D19" s="15" t="s">
        <v>117</v>
      </c>
      <c r="E19" s="15" t="s">
        <v>32</v>
      </c>
      <c r="F19" s="30">
        <v>0</v>
      </c>
      <c r="G19" s="30">
        <f t="shared" si="0"/>
        <v>0</v>
      </c>
      <c r="H19" s="14"/>
      <c r="I19" s="14"/>
      <c r="K19" s="14" t="s">
        <v>32</v>
      </c>
      <c r="L19" s="30">
        <f>B8</f>
        <v>1</v>
      </c>
    </row>
    <row r="20" spans="1:12" x14ac:dyDescent="0.25">
      <c r="A20" s="14" t="s">
        <v>129</v>
      </c>
      <c r="B20" s="15">
        <v>1</v>
      </c>
      <c r="C20" s="15" t="s">
        <v>114</v>
      </c>
      <c r="D20" s="15" t="s">
        <v>119</v>
      </c>
      <c r="E20" s="15" t="s">
        <v>43</v>
      </c>
      <c r="F20" s="30">
        <v>3</v>
      </c>
      <c r="G20" s="30">
        <f t="shared" si="0"/>
        <v>3</v>
      </c>
      <c r="H20" s="14"/>
      <c r="I20" s="14"/>
      <c r="K20" s="14" t="s">
        <v>130</v>
      </c>
      <c r="L20" s="30">
        <f>B9</f>
        <v>1</v>
      </c>
    </row>
    <row r="21" spans="1:12" x14ac:dyDescent="0.25">
      <c r="A21" s="14" t="s">
        <v>131</v>
      </c>
      <c r="B21" s="15">
        <v>1</v>
      </c>
      <c r="C21" s="15" t="s">
        <v>114</v>
      </c>
      <c r="D21" s="15" t="s">
        <v>111</v>
      </c>
      <c r="E21" s="15" t="s">
        <v>108</v>
      </c>
      <c r="F21" s="30">
        <v>0</v>
      </c>
      <c r="G21" s="30">
        <f t="shared" si="0"/>
        <v>0</v>
      </c>
      <c r="H21" s="14"/>
      <c r="I21" s="14"/>
    </row>
  </sheetData>
  <mergeCells count="2">
    <mergeCell ref="A2:L2"/>
    <mergeCell ref="A1:L1"/>
  </mergeCells>
  <conditionalFormatting sqref="C7:C200">
    <cfRule type="expression" dxfId="19" priority="1" stopIfTrue="1">
      <formula>C7="Yes"</formula>
    </cfRule>
    <cfRule type="expression" dxfId="18" priority="2" stopIfTrue="1">
      <formula>C7="No"</formula>
    </cfRule>
  </conditionalFormatting>
  <conditionalFormatting sqref="D7:D200">
    <cfRule type="expression" dxfId="17" priority="3" stopIfTrue="1">
      <formula>D7="High"</formula>
    </cfRule>
    <cfRule type="expression" dxfId="16" priority="4" stopIfTrue="1">
      <formula>D7="Medium"</formula>
    </cfRule>
    <cfRule type="expression" dxfId="15" priority="5" stopIfTrue="1">
      <formula>D7="Low"</formula>
    </cfRule>
  </conditionalFormatting>
  <conditionalFormatting sqref="E7:E200">
    <cfRule type="expression" dxfId="14" priority="6" stopIfTrue="1">
      <formula>E7="To Get"</formula>
    </cfRule>
    <cfRule type="expression" dxfId="13" priority="7" stopIfTrue="1">
      <formula>E7="To Buy"</formula>
    </cfRule>
    <cfRule type="expression" dxfId="12" priority="8" stopIfTrue="1">
      <formula>E7="Ordered"</formula>
    </cfRule>
    <cfRule type="expression" dxfId="11" priority="9" stopIfTrue="1">
      <formula>E7="Received"</formula>
    </cfRule>
    <cfRule type="expression" dxfId="10" priority="10" stopIfTrue="1">
      <formula>E7="Optional"</formula>
    </cfRule>
  </conditionalFormatting>
  <conditionalFormatting sqref="G7:G200">
    <cfRule type="dataBar" priority="11">
      <dataBar>
        <cfvo type="num" val="0"/>
        <cfvo type="formula" val="MAX($G$7:$G$200)"/>
        <color rgb="FF0B7285"/>
      </dataBar>
    </cfRule>
  </conditionalFormatting>
  <dataValidations count="3">
    <dataValidation type="list" allowBlank="1" showDropDown="1" errorTitle="Invalid entry" error="Select a value from the list." promptTitle="Select" prompt="Choose from dropdown." sqref="C7:C200" xr:uid="{00000000-0002-0000-0200-000000000000}">
      <formula1>YesNoList</formula1>
    </dataValidation>
    <dataValidation type="list" allowBlank="1" showDropDown="1" errorTitle="Invalid entry" error="Select a value from the list." promptTitle="Select" prompt="Choose from dropdown." sqref="D7:D200" xr:uid="{00000000-0002-0000-0200-000001000000}">
      <formula1>PriorityList</formula1>
    </dataValidation>
    <dataValidation type="list" allowBlank="1" showDropDown="1" errorTitle="Invalid entry" error="Select a value from the list." promptTitle="Select" prompt="Choose from dropdown." sqref="E7:E200" xr:uid="{00000000-0002-0000-0200-000002000000}">
      <formula1>BOMStatusList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3"/>
  <sheetViews>
    <sheetView workbookViewId="0">
      <pane ySplit="6" topLeftCell="A7" activePane="bottomLeft" state="frozen"/>
      <selection pane="bottomLeft" activeCell="A3" sqref="A1:L1048576"/>
    </sheetView>
  </sheetViews>
  <sheetFormatPr defaultRowHeight="15" x14ac:dyDescent="0.25"/>
  <cols>
    <col min="1" max="1" width="24.42578125" bestFit="1" customWidth="1"/>
    <col min="2" max="2" width="46.28515625" bestFit="1" customWidth="1"/>
    <col min="3" max="3" width="30.140625" bestFit="1" customWidth="1"/>
    <col min="4" max="4" width="11.140625" bestFit="1" customWidth="1"/>
    <col min="5" max="5" width="19.28515625" bestFit="1" customWidth="1"/>
    <col min="6" max="6" width="17.85546875" bestFit="1" customWidth="1"/>
    <col min="7" max="7" width="6.28515625" bestFit="1" customWidth="1"/>
    <col min="8" max="8" width="14.85546875" bestFit="1" customWidth="1"/>
    <col min="9" max="9" width="2" customWidth="1"/>
    <col min="10" max="10" width="21.140625" bestFit="1" customWidth="1"/>
    <col min="11" max="12" width="2" customWidth="1"/>
  </cols>
  <sheetData>
    <row r="1" spans="1:12" ht="33.950000000000003" customHeight="1" x14ac:dyDescent="0.25">
      <c r="A1" s="38" t="s">
        <v>132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0.100000000000001" customHeight="1" x14ac:dyDescent="0.25">
      <c r="A2" s="37" t="s">
        <v>133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18.75" x14ac:dyDescent="0.25">
      <c r="A3" s="28" t="s">
        <v>134</v>
      </c>
      <c r="B3" s="19">
        <f>IFERROR(SUMPRODUCT($H$7:$H$200,$F$7:$F$200)/SUMIF($A$7:$A$200,"&lt;&gt;",$H$7:$H$200),0)</f>
        <v>0</v>
      </c>
      <c r="H3" s="31">
        <f>B3</f>
        <v>0</v>
      </c>
    </row>
    <row r="6" spans="1:12" ht="20.100000000000001" customHeight="1" x14ac:dyDescent="0.25">
      <c r="A6" s="12" t="s">
        <v>135</v>
      </c>
      <c r="B6" s="12" t="s">
        <v>136</v>
      </c>
      <c r="C6" s="12" t="s">
        <v>137</v>
      </c>
      <c r="D6" s="12" t="s">
        <v>24</v>
      </c>
      <c r="E6" s="12" t="s">
        <v>25</v>
      </c>
      <c r="F6" s="12" t="s">
        <v>26</v>
      </c>
      <c r="G6" s="12" t="s">
        <v>27</v>
      </c>
      <c r="H6" s="12" t="s">
        <v>138</v>
      </c>
      <c r="J6" s="6" t="s">
        <v>139</v>
      </c>
    </row>
    <row r="7" spans="1:12" ht="42" customHeight="1" x14ac:dyDescent="0.25">
      <c r="A7" s="14" t="s">
        <v>140</v>
      </c>
      <c r="B7" s="14" t="s">
        <v>141</v>
      </c>
      <c r="C7" s="14" t="s">
        <v>142</v>
      </c>
      <c r="D7" s="15" t="s">
        <v>4</v>
      </c>
      <c r="E7" s="15"/>
      <c r="F7" s="5">
        <f>IF(ISNUMBER($E7),$E7/100,IFERROR(VLOOKUP($D7,_Lists!$A$2:$B$6,2,FALSE)/100,0))</f>
        <v>0</v>
      </c>
      <c r="G7" s="14"/>
      <c r="H7" s="5">
        <v>0.1</v>
      </c>
    </row>
    <row r="8" spans="1:12" ht="42" customHeight="1" x14ac:dyDescent="0.25">
      <c r="A8" s="14" t="s">
        <v>143</v>
      </c>
      <c r="B8" s="14" t="s">
        <v>144</v>
      </c>
      <c r="C8" s="14" t="s">
        <v>145</v>
      </c>
      <c r="D8" s="15" t="s">
        <v>4</v>
      </c>
      <c r="E8" s="15"/>
      <c r="F8" s="5">
        <f>IF(ISNUMBER($E8),$E8/100,IFERROR(VLOOKUP($D8,_Lists!$A$2:$B$6,2,FALSE)/100,0))</f>
        <v>0</v>
      </c>
      <c r="G8" s="14"/>
      <c r="H8" s="5">
        <v>0.25</v>
      </c>
    </row>
    <row r="9" spans="1:12" ht="42" customHeight="1" x14ac:dyDescent="0.25">
      <c r="A9" s="14" t="s">
        <v>146</v>
      </c>
      <c r="B9" s="14" t="s">
        <v>147</v>
      </c>
      <c r="C9" s="14" t="s">
        <v>148</v>
      </c>
      <c r="D9" s="15" t="s">
        <v>4</v>
      </c>
      <c r="E9" s="15"/>
      <c r="F9" s="5">
        <f>IF(ISNUMBER($E9),$E9/100,IFERROR(VLOOKUP($D9,_Lists!$A$2:$B$6,2,FALSE)/100,0))</f>
        <v>0</v>
      </c>
      <c r="G9" s="14"/>
      <c r="H9" s="5">
        <v>0.2</v>
      </c>
    </row>
    <row r="10" spans="1:12" ht="42" customHeight="1" x14ac:dyDescent="0.25">
      <c r="A10" s="14" t="s">
        <v>149</v>
      </c>
      <c r="B10" s="14" t="s">
        <v>150</v>
      </c>
      <c r="C10" s="14" t="s">
        <v>151</v>
      </c>
      <c r="D10" s="15" t="s">
        <v>4</v>
      </c>
      <c r="E10" s="15"/>
      <c r="F10" s="5">
        <f>IF(ISNUMBER($E10),$E10/100,IFERROR(VLOOKUP($D10,_Lists!$A$2:$B$6,2,FALSE)/100,0))</f>
        <v>0</v>
      </c>
      <c r="G10" s="14"/>
      <c r="H10" s="5">
        <v>0.1</v>
      </c>
    </row>
    <row r="11" spans="1:12" ht="42" customHeight="1" x14ac:dyDescent="0.25">
      <c r="A11" s="14" t="s">
        <v>152</v>
      </c>
      <c r="B11" s="14" t="s">
        <v>153</v>
      </c>
      <c r="C11" s="14" t="s">
        <v>154</v>
      </c>
      <c r="D11" s="15" t="s">
        <v>4</v>
      </c>
      <c r="E11" s="15"/>
      <c r="F11" s="5">
        <f>IF(ISNUMBER($E11),$E11/100,IFERROR(VLOOKUP($D11,_Lists!$A$2:$B$6,2,FALSE)/100,0))</f>
        <v>0</v>
      </c>
      <c r="G11" s="14"/>
      <c r="H11" s="5">
        <v>0.25</v>
      </c>
    </row>
    <row r="12" spans="1:12" ht="42" customHeight="1" x14ac:dyDescent="0.25">
      <c r="A12" s="14" t="s">
        <v>155</v>
      </c>
      <c r="B12" s="14" t="s">
        <v>156</v>
      </c>
      <c r="C12" s="14" t="s">
        <v>157</v>
      </c>
      <c r="D12" s="15" t="s">
        <v>4</v>
      </c>
      <c r="E12" s="15"/>
      <c r="F12" s="5">
        <f>IF(ISNUMBER($E12),$E12/100,IFERROR(VLOOKUP($D12,_Lists!$A$2:$B$6,2,FALSE)/100,0))</f>
        <v>0</v>
      </c>
      <c r="G12" s="14"/>
      <c r="H12" s="5">
        <v>0.08</v>
      </c>
    </row>
    <row r="13" spans="1:12" ht="42" customHeight="1" x14ac:dyDescent="0.25">
      <c r="A13" s="14" t="s">
        <v>158</v>
      </c>
      <c r="B13" s="14" t="s">
        <v>159</v>
      </c>
      <c r="C13" s="14" t="s">
        <v>160</v>
      </c>
      <c r="D13" s="15" t="s">
        <v>4</v>
      </c>
      <c r="E13" s="15"/>
      <c r="F13" s="5">
        <f>IF(ISNUMBER($E13),$E13/100,IFERROR(VLOOKUP($D13,_Lists!$A$2:$B$6,2,FALSE)/100,0))</f>
        <v>0</v>
      </c>
      <c r="G13" s="14"/>
      <c r="H13" s="5">
        <v>0.02</v>
      </c>
    </row>
  </sheetData>
  <mergeCells count="2">
    <mergeCell ref="A2:L2"/>
    <mergeCell ref="A1:L1"/>
  </mergeCells>
  <conditionalFormatting sqref="D7:D200">
    <cfRule type="expression" dxfId="9" priority="1" stopIfTrue="1">
      <formula>D7="Not Started"</formula>
    </cfRule>
    <cfRule type="expression" dxfId="8" priority="2" stopIfTrue="1">
      <formula>D7="In Progress"</formula>
    </cfRule>
    <cfRule type="expression" dxfId="7" priority="3" stopIfTrue="1">
      <formula>D7="Done"</formula>
    </cfRule>
    <cfRule type="expression" dxfId="6" priority="4" stopIfTrue="1">
      <formula>D7="Blocked"</formula>
    </cfRule>
    <cfRule type="expression" dxfId="5" priority="5" stopIfTrue="1">
      <formula>D7="Optional"</formula>
    </cfRule>
  </conditionalFormatting>
  <conditionalFormatting sqref="F7:F13">
    <cfRule type="dataBar" priority="6">
      <dataBar>
        <cfvo type="num" val="0"/>
        <cfvo type="num" val="1"/>
        <color rgb="FF5C3D99"/>
      </dataBar>
    </cfRule>
  </conditionalFormatting>
  <dataValidations count="2">
    <dataValidation type="list" allowBlank="1" showDropDown="1" errorTitle="Invalid entry" error="Select a value from the list." promptTitle="Select" prompt="Choose from dropdown." sqref="D7:D200" xr:uid="{00000000-0002-0000-0300-000000000000}">
      <formula1>GlobalStatusList</formula1>
    </dataValidation>
    <dataValidation type="decimal" allowBlank="1" error="Enter a number 0–100." sqref="C14:C20 E7:E200" xr:uid="{00000000-0002-0000-0300-000001000000}">
      <formula1>0</formula1>
      <formula2>100</formula2>
    </dataValidation>
  </dataValidation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workbookViewId="0">
      <pane ySplit="3" topLeftCell="A4" activePane="bottomLeft" state="frozen"/>
      <selection pane="bottomLeft" activeCell="B17" sqref="B17:D17"/>
    </sheetView>
  </sheetViews>
  <sheetFormatPr defaultRowHeight="15" x14ac:dyDescent="0.25"/>
  <cols>
    <col min="1" max="1" width="24" customWidth="1"/>
    <col min="2" max="2" width="16" customWidth="1"/>
    <col min="3" max="3" width="26" customWidth="1"/>
    <col min="4" max="4" width="2" customWidth="1"/>
    <col min="5" max="12" width="20" customWidth="1"/>
  </cols>
  <sheetData>
    <row r="1" spans="1:12" ht="33.950000000000003" customHeight="1" x14ac:dyDescent="0.25">
      <c r="A1" s="38" t="s">
        <v>161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20.100000000000001" customHeight="1" x14ac:dyDescent="0.25">
      <c r="A2" s="37" t="s">
        <v>162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x14ac:dyDescent="0.25">
      <c r="A3" s="28" t="s">
        <v>163</v>
      </c>
      <c r="E3" s="42" t="s">
        <v>164</v>
      </c>
      <c r="F3" s="35"/>
      <c r="G3" s="35"/>
      <c r="H3" s="35"/>
      <c r="I3" s="35"/>
      <c r="J3" s="35"/>
      <c r="K3" s="35"/>
      <c r="L3" s="35"/>
    </row>
    <row r="4" spans="1:12" ht="30" x14ac:dyDescent="0.25">
      <c r="A4" s="32" t="s">
        <v>165</v>
      </c>
      <c r="B4" s="15" t="s">
        <v>4</v>
      </c>
      <c r="C4" s="14" t="s">
        <v>166</v>
      </c>
      <c r="E4" s="40" t="s">
        <v>167</v>
      </c>
      <c r="F4" s="35"/>
      <c r="G4" s="35"/>
      <c r="H4" s="35"/>
      <c r="I4" s="35"/>
      <c r="J4" s="35"/>
      <c r="K4" s="35"/>
      <c r="L4" s="35"/>
    </row>
    <row r="5" spans="1:12" ht="30" x14ac:dyDescent="0.25">
      <c r="A5" s="32" t="s">
        <v>168</v>
      </c>
      <c r="B5" s="15" t="s">
        <v>4</v>
      </c>
      <c r="C5" s="14" t="s">
        <v>169</v>
      </c>
      <c r="E5" s="35"/>
      <c r="F5" s="35"/>
      <c r="G5" s="35"/>
      <c r="H5" s="35"/>
      <c r="I5" s="35"/>
      <c r="J5" s="35"/>
      <c r="K5" s="35"/>
      <c r="L5" s="35"/>
    </row>
    <row r="6" spans="1:12" ht="30" x14ac:dyDescent="0.25">
      <c r="A6" s="32" t="s">
        <v>170</v>
      </c>
      <c r="B6" s="15" t="s">
        <v>4</v>
      </c>
      <c r="C6" s="14" t="s">
        <v>171</v>
      </c>
      <c r="E6" s="35"/>
      <c r="F6" s="35"/>
      <c r="G6" s="35"/>
      <c r="H6" s="35"/>
      <c r="I6" s="35"/>
      <c r="J6" s="35"/>
      <c r="K6" s="35"/>
      <c r="L6" s="35"/>
    </row>
    <row r="7" spans="1:12" ht="30" x14ac:dyDescent="0.25">
      <c r="A7" s="32" t="s">
        <v>172</v>
      </c>
      <c r="B7" s="15" t="s">
        <v>4</v>
      </c>
      <c r="C7" s="14" t="s">
        <v>173</v>
      </c>
      <c r="E7" s="35"/>
      <c r="F7" s="35"/>
      <c r="G7" s="35"/>
      <c r="H7" s="35"/>
      <c r="I7" s="35"/>
      <c r="J7" s="35"/>
      <c r="K7" s="35"/>
      <c r="L7" s="35"/>
    </row>
    <row r="8" spans="1:12" x14ac:dyDescent="0.25">
      <c r="A8" s="43" t="s">
        <v>174</v>
      </c>
      <c r="B8" s="44"/>
      <c r="C8" s="45"/>
      <c r="E8" s="35"/>
      <c r="F8" s="35"/>
      <c r="G8" s="35"/>
      <c r="H8" s="35"/>
      <c r="I8" s="35"/>
      <c r="J8" s="35"/>
      <c r="K8" s="35"/>
      <c r="L8" s="35"/>
    </row>
    <row r="9" spans="1:12" x14ac:dyDescent="0.25">
      <c r="A9" s="14" t="s">
        <v>175</v>
      </c>
      <c r="B9" s="15" t="s">
        <v>4</v>
      </c>
      <c r="C9" s="14"/>
      <c r="E9" s="35"/>
      <c r="F9" s="35"/>
      <c r="G9" s="35"/>
      <c r="H9" s="35"/>
      <c r="I9" s="35"/>
      <c r="J9" s="35"/>
      <c r="K9" s="35"/>
      <c r="L9" s="35"/>
    </row>
    <row r="10" spans="1:12" ht="30" x14ac:dyDescent="0.25">
      <c r="A10" s="14" t="s">
        <v>176</v>
      </c>
      <c r="B10" s="15" t="s">
        <v>4</v>
      </c>
      <c r="C10" s="14"/>
      <c r="E10" s="35"/>
      <c r="F10" s="35"/>
      <c r="G10" s="35"/>
      <c r="H10" s="35"/>
      <c r="I10" s="35"/>
      <c r="J10" s="35"/>
      <c r="K10" s="35"/>
      <c r="L10" s="35"/>
    </row>
    <row r="11" spans="1:12" x14ac:dyDescent="0.25">
      <c r="A11" s="14" t="s">
        <v>177</v>
      </c>
      <c r="B11" s="15" t="s">
        <v>4</v>
      </c>
      <c r="C11" s="14"/>
      <c r="E11" s="35"/>
      <c r="F11" s="35"/>
      <c r="G11" s="35"/>
      <c r="H11" s="35"/>
      <c r="I11" s="35"/>
      <c r="J11" s="35"/>
      <c r="K11" s="35"/>
      <c r="L11" s="35"/>
    </row>
    <row r="12" spans="1:12" ht="30" x14ac:dyDescent="0.25">
      <c r="A12" s="14" t="s">
        <v>178</v>
      </c>
      <c r="B12" s="15" t="s">
        <v>4</v>
      </c>
      <c r="C12" s="14"/>
      <c r="E12" s="35"/>
      <c r="F12" s="35"/>
      <c r="G12" s="35"/>
      <c r="H12" s="35"/>
      <c r="I12" s="35"/>
      <c r="J12" s="35"/>
      <c r="K12" s="35"/>
      <c r="L12" s="35"/>
    </row>
    <row r="13" spans="1:12" ht="30" x14ac:dyDescent="0.25">
      <c r="A13" s="14" t="s">
        <v>179</v>
      </c>
      <c r="B13" s="15" t="s">
        <v>4</v>
      </c>
      <c r="C13" s="14"/>
      <c r="E13" s="35"/>
      <c r="F13" s="35"/>
      <c r="G13" s="35"/>
      <c r="H13" s="35"/>
      <c r="I13" s="35"/>
      <c r="J13" s="35"/>
      <c r="K13" s="35"/>
      <c r="L13" s="35"/>
    </row>
    <row r="14" spans="1:12" ht="30" x14ac:dyDescent="0.25">
      <c r="A14" s="14" t="s">
        <v>180</v>
      </c>
      <c r="B14" s="15" t="s">
        <v>4</v>
      </c>
      <c r="C14" s="14"/>
      <c r="E14" s="35"/>
      <c r="F14" s="35"/>
      <c r="G14" s="35"/>
      <c r="H14" s="35"/>
      <c r="I14" s="35"/>
      <c r="J14" s="35"/>
      <c r="K14" s="35"/>
      <c r="L14" s="35"/>
    </row>
    <row r="15" spans="1:12" ht="30" x14ac:dyDescent="0.25">
      <c r="A15" s="14" t="s">
        <v>181</v>
      </c>
      <c r="B15" s="15" t="s">
        <v>4</v>
      </c>
      <c r="C15" s="14"/>
    </row>
    <row r="16" spans="1:12" x14ac:dyDescent="0.25">
      <c r="A16" s="28" t="s">
        <v>182</v>
      </c>
    </row>
    <row r="17" spans="1:4" x14ac:dyDescent="0.25">
      <c r="A17" s="28" t="s">
        <v>183</v>
      </c>
      <c r="B17" s="41" t="str">
        <f>HYPERLINK("#'DASHBOARD'!A1","Open DASHBOARD")</f>
        <v>Open DASHBOARD</v>
      </c>
      <c r="C17" s="35"/>
      <c r="D17" s="35"/>
    </row>
    <row r="18" spans="1:4" x14ac:dyDescent="0.25">
      <c r="A18" s="28" t="s">
        <v>184</v>
      </c>
      <c r="B18" s="41" t="str">
        <f>HYPERLINK("#'GANTT'!A1","Open GANTT")</f>
        <v>Open GANTT</v>
      </c>
      <c r="C18" s="35"/>
      <c r="D18" s="35"/>
    </row>
    <row r="19" spans="1:4" x14ac:dyDescent="0.25">
      <c r="A19" s="28" t="s">
        <v>185</v>
      </c>
      <c r="B19" s="41" t="str">
        <f>HYPERLINK("#'BOM'!A1","Open BOM")</f>
        <v>Open BOM</v>
      </c>
      <c r="C19" s="35"/>
      <c r="D19" s="35"/>
    </row>
    <row r="20" spans="1:4" x14ac:dyDescent="0.25">
      <c r="A20" s="28" t="s">
        <v>186</v>
      </c>
      <c r="B20" s="41" t="str">
        <f>HYPERLINK("#'REPORT BREAKDOWN'!A1","Open REPORT BREAKDOWN")</f>
        <v>Open REPORT BREAKDOWN</v>
      </c>
      <c r="C20" s="35"/>
      <c r="D20" s="35"/>
    </row>
  </sheetData>
  <mergeCells count="9">
    <mergeCell ref="A1:L1"/>
    <mergeCell ref="B17:D17"/>
    <mergeCell ref="B18:D18"/>
    <mergeCell ref="B20:D20"/>
    <mergeCell ref="E4:L14"/>
    <mergeCell ref="A2:L2"/>
    <mergeCell ref="B19:D19"/>
    <mergeCell ref="E3:L3"/>
    <mergeCell ref="A8:C8"/>
  </mergeCells>
  <conditionalFormatting sqref="B4:B15">
    <cfRule type="expression" dxfId="4" priority="1" stopIfTrue="1">
      <formula>B4="Not Started"</formula>
    </cfRule>
    <cfRule type="expression" dxfId="3" priority="2" stopIfTrue="1">
      <formula>B4="In Progress"</formula>
    </cfRule>
    <cfRule type="expression" dxfId="2" priority="3" stopIfTrue="1">
      <formula>B4="Done"</formula>
    </cfRule>
    <cfRule type="expression" dxfId="1" priority="4" stopIfTrue="1">
      <formula>B4="Blocked"</formula>
    </cfRule>
    <cfRule type="expression" dxfId="0" priority="5" stopIfTrue="1">
      <formula>B4="Optional"</formula>
    </cfRule>
  </conditionalFormatting>
  <dataValidations count="1">
    <dataValidation type="list" allowBlank="1" showDropDown="1" errorTitle="Invalid entry" error="Select a value from the list." promptTitle="Select" prompt="Choose from dropdown." sqref="B4:B15" xr:uid="{00000000-0002-0000-0400-000000000000}">
      <formula1>GlobalStatusList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"/>
  <sheetViews>
    <sheetView workbookViewId="0"/>
  </sheetViews>
  <sheetFormatPr defaultRowHeight="15" x14ac:dyDescent="0.25"/>
  <cols>
    <col min="1" max="1" width="18" customWidth="1"/>
    <col min="2" max="2" width="12" customWidth="1"/>
    <col min="3" max="3" width="14" customWidth="1"/>
    <col min="5" max="6" width="14" customWidth="1"/>
    <col min="8" max="8" width="16" customWidth="1"/>
    <col min="9" max="9" width="14" customWidth="1"/>
    <col min="11" max="11" width="12" customWidth="1"/>
    <col min="12" max="12" width="14" customWidth="1"/>
    <col min="14" max="14" width="16" customWidth="1"/>
    <col min="15" max="15" width="10" customWidth="1"/>
  </cols>
  <sheetData>
    <row r="1" spans="1:15" ht="30" x14ac:dyDescent="0.25">
      <c r="A1" s="33" t="s">
        <v>187</v>
      </c>
      <c r="B1" s="33" t="s">
        <v>188</v>
      </c>
      <c r="C1" s="33" t="s">
        <v>189</v>
      </c>
      <c r="E1" s="33" t="s">
        <v>96</v>
      </c>
      <c r="F1" s="33" t="s">
        <v>189</v>
      </c>
      <c r="H1" s="33" t="s">
        <v>103</v>
      </c>
      <c r="I1" s="33" t="s">
        <v>189</v>
      </c>
      <c r="K1" s="33" t="s">
        <v>104</v>
      </c>
      <c r="L1" s="33" t="s">
        <v>189</v>
      </c>
      <c r="N1" s="33" t="s">
        <v>190</v>
      </c>
      <c r="O1" s="33" t="s">
        <v>191</v>
      </c>
    </row>
    <row r="2" spans="1:15" x14ac:dyDescent="0.25">
      <c r="A2" t="s">
        <v>4</v>
      </c>
      <c r="B2">
        <v>0</v>
      </c>
      <c r="C2" t="s">
        <v>192</v>
      </c>
      <c r="E2" t="s">
        <v>98</v>
      </c>
      <c r="F2" t="s">
        <v>192</v>
      </c>
      <c r="H2" t="s">
        <v>110</v>
      </c>
      <c r="I2" t="s">
        <v>193</v>
      </c>
      <c r="K2" t="s">
        <v>111</v>
      </c>
      <c r="L2" t="s">
        <v>194</v>
      </c>
      <c r="N2" t="s">
        <v>6</v>
      </c>
      <c r="O2">
        <v>0.55000000000000004</v>
      </c>
    </row>
    <row r="3" spans="1:15" x14ac:dyDescent="0.25">
      <c r="A3" t="s">
        <v>34</v>
      </c>
      <c r="B3">
        <v>50</v>
      </c>
      <c r="C3" t="s">
        <v>195</v>
      </c>
      <c r="E3" t="s">
        <v>100</v>
      </c>
      <c r="F3" t="s">
        <v>196</v>
      </c>
      <c r="H3" t="s">
        <v>114</v>
      </c>
      <c r="I3" t="s">
        <v>192</v>
      </c>
      <c r="K3" t="s">
        <v>117</v>
      </c>
      <c r="L3" t="s">
        <v>197</v>
      </c>
      <c r="N3" t="s">
        <v>13</v>
      </c>
      <c r="O3">
        <v>0.35</v>
      </c>
    </row>
    <row r="4" spans="1:15" x14ac:dyDescent="0.25">
      <c r="A4" t="s">
        <v>37</v>
      </c>
      <c r="B4">
        <v>100</v>
      </c>
      <c r="C4" t="s">
        <v>198</v>
      </c>
      <c r="E4" t="s">
        <v>108</v>
      </c>
      <c r="F4" t="s">
        <v>197</v>
      </c>
      <c r="K4" t="s">
        <v>119</v>
      </c>
      <c r="L4" t="s">
        <v>192</v>
      </c>
      <c r="N4" t="s">
        <v>10</v>
      </c>
      <c r="O4">
        <v>0.1</v>
      </c>
    </row>
    <row r="5" spans="1:15" x14ac:dyDescent="0.25">
      <c r="A5" t="s">
        <v>39</v>
      </c>
      <c r="B5">
        <v>0</v>
      </c>
      <c r="C5" t="s">
        <v>199</v>
      </c>
      <c r="E5" t="s">
        <v>32</v>
      </c>
      <c r="F5" t="s">
        <v>193</v>
      </c>
    </row>
    <row r="6" spans="1:15" x14ac:dyDescent="0.25">
      <c r="A6" t="s">
        <v>43</v>
      </c>
      <c r="B6">
        <v>0</v>
      </c>
      <c r="C6" t="s">
        <v>200</v>
      </c>
      <c r="E6" t="s">
        <v>43</v>
      </c>
      <c r="F6" t="s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DASHBOARD</vt:lpstr>
      <vt:lpstr>GANTT</vt:lpstr>
      <vt:lpstr>BOM</vt:lpstr>
      <vt:lpstr>REPORT BREAKDOWN</vt:lpstr>
      <vt:lpstr>DESIGN &amp; NOTES</vt:lpstr>
      <vt:lpstr>_Lists</vt:lpstr>
      <vt:lpstr>BOMStatusList</vt:lpstr>
      <vt:lpstr>GlobalStatusList</vt:lpstr>
      <vt:lpstr>GlobalStatusPct</vt:lpstr>
      <vt:lpstr>PriorityList</vt:lpstr>
      <vt:lpstr>YesNoList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Adjei (Student)</cp:lastModifiedBy>
  <dcterms:created xsi:type="dcterms:W3CDTF">2026-01-22T05:18:42Z</dcterms:created>
  <dcterms:modified xsi:type="dcterms:W3CDTF">2026-01-22T07:35:11Z</dcterms:modified>
</cp:coreProperties>
</file>