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astonac-my.sharepoint.com/personal/240191278_aston_ac_uk/Documents/240191278_EECS_Beng/240191278_EECS (First Year)/EI1EL2 (Electronics 2)/Projects/Project 1 - Audio Amplifier Project/Audio Amplifier Design Calculations/"/>
    </mc:Choice>
  </mc:AlternateContent>
  <xr:revisionPtr revIDLastSave="5" documentId="13_ncr:1_{C2B2EFB1-6031-4C7E-905F-4AEB02ECEC4D}" xr6:coauthVersionLast="47" xr6:coauthVersionMax="47" xr10:uidLastSave="{F5940B6E-7DCF-44C8-BF99-D553CE71563D}"/>
  <bookViews>
    <workbookView xWindow="-110" yWindow="-110" windowWidth="19420" windowHeight="11500" activeTab="2" xr2:uid="{D0A90197-6502-44CA-932B-74CC2363D4B6}"/>
  </bookViews>
  <sheets>
    <sheet name="Play ground " sheetId="2" r:id="rId1"/>
    <sheet name="MB Phone Characterisation" sheetId="1" r:id="rId2"/>
    <sheet name="Design Calculation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3" l="1"/>
  <c r="B26" i="3"/>
  <c r="B21" i="3"/>
  <c r="B19" i="3"/>
  <c r="B16" i="3"/>
  <c r="B15" i="3"/>
  <c r="B6" i="3"/>
  <c r="B5" i="3"/>
  <c r="B9" i="3" s="1"/>
  <c r="B13" i="3" s="1"/>
  <c r="B3" i="3"/>
  <c r="B4" i="3" s="1"/>
  <c r="L16" i="1"/>
  <c r="L15" i="1"/>
  <c r="O7" i="1"/>
  <c r="N7" i="1"/>
  <c r="O5" i="1"/>
  <c r="O4" i="1"/>
  <c r="L10" i="1"/>
  <c r="L14" i="1"/>
  <c r="L13" i="1"/>
  <c r="L12" i="1"/>
  <c r="L11" i="1"/>
  <c r="L9" i="1"/>
  <c r="L8" i="1"/>
  <c r="I4" i="1"/>
  <c r="H4" i="1"/>
  <c r="F4" i="1"/>
  <c r="E4" i="1" a="1"/>
  <c r="E4" i="1" s="1"/>
  <c r="G4" i="1" s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4" i="1"/>
  <c r="B10" i="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<sst xmlns="http://schemas.openxmlformats.org/spreadsheetml/2006/main" count="115" uniqueCount="84">
  <si>
    <t>Vpp(440Hz)</t>
  </si>
  <si>
    <t>dB</t>
  </si>
  <si>
    <t>Ohms</t>
  </si>
  <si>
    <t>1.224V</t>
  </si>
  <si>
    <t>872.0mV</t>
  </si>
  <si>
    <t>624.0mV</t>
  </si>
  <si>
    <t>448.0mV</t>
  </si>
  <si>
    <t>208.0mV</t>
  </si>
  <si>
    <t>152.0mV</t>
  </si>
  <si>
    <t>104.0mV</t>
  </si>
  <si>
    <t>72.00mV</t>
  </si>
  <si>
    <t>48.00mV</t>
  </si>
  <si>
    <t>320.0mV</t>
  </si>
  <si>
    <t>Volume (Steps 1-16)</t>
  </si>
  <si>
    <t>56.00mV</t>
  </si>
  <si>
    <t>Vpp(440Hz) - Simplified [V]</t>
  </si>
  <si>
    <t>Chosen step Vpp [V]</t>
  </si>
  <si>
    <t>70% Point (Step)</t>
  </si>
  <si>
    <t>70% Target Vpp [V]</t>
  </si>
  <si>
    <t>Error (Chosen - Target) [V]</t>
  </si>
  <si>
    <t>% Error</t>
  </si>
  <si>
    <t>Source and test conditions</t>
  </si>
  <si>
    <t>Source device</t>
  </si>
  <si>
    <t>iPhone 14 Pro Max</t>
  </si>
  <si>
    <t>Test tone frequency [Hz]</t>
  </si>
  <si>
    <t>Volume scale</t>
  </si>
  <si>
    <t>Steps 1 to 16</t>
  </si>
  <si>
    <t>Chosen design point</t>
  </si>
  <si>
    <t>70% of max Vpp</t>
  </si>
  <si>
    <t>Max measured Vpp [V]</t>
  </si>
  <si>
    <t>70% target Vpp [V]</t>
  </si>
  <si>
    <t>Percent error</t>
  </si>
  <si>
    <t>Chosen step Vrms [V]</t>
  </si>
  <si>
    <t>Closest volume step / Chosen design volume setting</t>
  </si>
  <si>
    <t>Vin (chosen step) Vpp [V]</t>
  </si>
  <si>
    <t>Vin (chosen step) Vrms [V]</t>
  </si>
  <si>
    <t>X (70% line and chosen point)</t>
  </si>
  <si>
    <t>Y [V] (70% line and chosen point)</t>
  </si>
  <si>
    <t>Values</t>
  </si>
  <si>
    <t>Units</t>
  </si>
  <si>
    <t>Names / Parameters</t>
  </si>
  <si>
    <t>Max phone Vpp</t>
  </si>
  <si>
    <t>V</t>
  </si>
  <si>
    <t>0.7 phone Vpp target</t>
  </si>
  <si>
    <t>Chosen design Vin Vpp</t>
  </si>
  <si>
    <t>Chosen design Vin Vrms</t>
  </si>
  <si>
    <t>Target Vout Vpp (spec)</t>
  </si>
  <si>
    <t>Required gain (V/V)</t>
  </si>
  <si>
    <t>V/V</t>
  </si>
  <si>
    <t>Required gain (dB)</t>
  </si>
  <si>
    <t>R1 (given feedback)</t>
  </si>
  <si>
    <t>MF25_82k</t>
  </si>
  <si>
    <t>R2 calculated (input)</t>
  </si>
  <si>
    <t>R2 rounded (chosen)</t>
  </si>
  <si>
    <t>MF25_24k</t>
  </si>
  <si>
    <t>Actual gain (using rounded R2)</t>
  </si>
  <si>
    <t>Actual gain (dB)</t>
  </si>
  <si>
    <t>Hz</t>
  </si>
  <si>
    <t>C2 calculated</t>
  </si>
  <si>
    <t>F</t>
  </si>
  <si>
    <t>C2 rounded (chosen)</t>
  </si>
  <si>
    <t>ELEC_1U</t>
  </si>
  <si>
    <t>Actual fl</t>
  </si>
  <si>
    <t>Upper cut-off frequency fu (chosen)</t>
  </si>
  <si>
    <t>C1 calculated</t>
  </si>
  <si>
    <t>C1 rounded (chosen)</t>
  </si>
  <si>
    <t>CER_68P</t>
  </si>
  <si>
    <t>Actual fu</t>
  </si>
  <si>
    <t>C+ decouple (TL071 +V to 0V)</t>
  </si>
  <si>
    <t>C- decouple (TL071 -V to 0V)</t>
  </si>
  <si>
    <t>Real component name (Proteus Aston name)</t>
  </si>
  <si>
    <t>Lower cut-off frequency fl (given)</t>
  </si>
  <si>
    <t>POLY_100N</t>
  </si>
  <si>
    <t>OPA551 decouple +V to 0V</t>
  </si>
  <si>
    <t>OPA551 decouple -V to 0V</t>
  </si>
  <si>
    <t>OPA551 bulk +V to 0V</t>
  </si>
  <si>
    <t>OPA551 bulk -V to 0V</t>
  </si>
  <si>
    <t>ELEC_10U</t>
  </si>
  <si>
    <t>Phone input values (rows 3–6)</t>
  </si>
  <si>
    <t>Lower cut-off section (rows 18–21)</t>
  </si>
  <si>
    <t>Upper cut-off section (rows 23–26)</t>
  </si>
  <si>
    <t>Decoupling caps (rows 28–35)</t>
  </si>
  <si>
    <t>Gain / resistor results (rows 8–16)</t>
  </si>
  <si>
    <t>MB Phone Characterisation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</si>
</sst>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0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165" fontId="0" fillId="0" borderId="0" xfId="0" applyNumberFormat="1"/>
    <xf numFmtId="10" fontId="0" fillId="0" borderId="0" xfId="0" applyNumberFormat="1"/>
    <xf numFmtId="0" fontId="1" fillId="0" borderId="0" xfId="0" applyFont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0" fontId="1" fillId="2" borderId="1" xfId="0" applyFont="1" applyFill="1" applyBorder="1"/>
    <xf numFmtId="10" fontId="1" fillId="2" borderId="1" xfId="0" applyNumberFormat="1" applyFont="1" applyFill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5" fontId="1" fillId="2" borderId="1" xfId="0" applyNumberFormat="1" applyFont="1" applyFill="1" applyBorder="1" applyAlignment="1">
      <alignment horizontal="center"/>
    </xf>
    <xf numFmtId="11" fontId="0" fillId="0" borderId="1" xfId="0" applyNumberFormat="1" applyBorder="1" applyAlignment="1">
      <alignment horizontal="center"/>
    </xf>
    <xf numFmtId="0" fontId="2" fillId="3" borderId="2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/>
              <a:t>Mobile phone output Vpp vs volume step (440 Hz)</a:t>
            </a:r>
            <a:endParaRPr lang="en-GB"/>
          </a:p>
        </c:rich>
      </c:tx>
      <c:layout>
        <c:manualLayout>
          <c:xMode val="edge"/>
          <c:yMode val="edge"/>
          <c:x val="0.1441410647868365"/>
          <c:y val="4.778816399721138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>
        <c:manualLayout>
          <c:layoutTarget val="inner"/>
          <c:xMode val="edge"/>
          <c:yMode val="edge"/>
          <c:x val="0.14078376373621534"/>
          <c:y val="0.17171296296296296"/>
          <c:w val="0.64087837778314183"/>
          <c:h val="0.61487426273843626"/>
        </c:manualLayout>
      </c:layout>
      <c:scatterChart>
        <c:scatterStyle val="lineMarker"/>
        <c:varyColors val="0"/>
        <c:ser>
          <c:idx val="0"/>
          <c:order val="0"/>
          <c:tx>
            <c:strRef>
              <c:f>'MB Phone Characterisation'!$C$3</c:f>
              <c:strCache>
                <c:ptCount val="1"/>
                <c:pt idx="0">
                  <c:v>Vpp(440Hz) - Simplified [V]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'MB Phone Characterisation'!$A$4:$A$19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'MB Phone Characterisation'!$C$4:$C$19</c:f>
              <c:numCache>
                <c:formatCode>0.0000</c:formatCode>
                <c:ptCount val="16"/>
                <c:pt idx="0">
                  <c:v>4.8000000000000001E-2</c:v>
                </c:pt>
                <c:pt idx="1">
                  <c:v>4.8000000000000001E-2</c:v>
                </c:pt>
                <c:pt idx="2">
                  <c:v>4.8000000000000001E-2</c:v>
                </c:pt>
                <c:pt idx="3">
                  <c:v>4.8000000000000001E-2</c:v>
                </c:pt>
                <c:pt idx="4">
                  <c:v>4.8000000000000001E-2</c:v>
                </c:pt>
                <c:pt idx="5">
                  <c:v>4.8000000000000001E-2</c:v>
                </c:pt>
                <c:pt idx="6">
                  <c:v>5.6000000000000001E-2</c:v>
                </c:pt>
                <c:pt idx="7">
                  <c:v>7.1999999999999995E-2</c:v>
                </c:pt>
                <c:pt idx="8">
                  <c:v>0.104</c:v>
                </c:pt>
                <c:pt idx="9">
                  <c:v>0.152</c:v>
                </c:pt>
                <c:pt idx="10">
                  <c:v>0.20799999999999999</c:v>
                </c:pt>
                <c:pt idx="11">
                  <c:v>0.32</c:v>
                </c:pt>
                <c:pt idx="12">
                  <c:v>0.44800000000000001</c:v>
                </c:pt>
                <c:pt idx="13">
                  <c:v>0.624</c:v>
                </c:pt>
                <c:pt idx="14">
                  <c:v>0.872</c:v>
                </c:pt>
                <c:pt idx="15">
                  <c:v>1.224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93-4133-87A7-95E2FE7AA9F7}"/>
            </c:ext>
          </c:extLst>
        </c:ser>
        <c:ser>
          <c:idx val="1"/>
          <c:order val="1"/>
          <c:tx>
            <c:v>Chosen step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1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'MB Phone Characterisation'!$N$7</c:f>
              <c:numCache>
                <c:formatCode>0</c:formatCode>
                <c:ptCount val="1"/>
                <c:pt idx="0">
                  <c:v>15</c:v>
                </c:pt>
              </c:numCache>
            </c:numRef>
          </c:xVal>
          <c:yVal>
            <c:numRef>
              <c:f>'MB Phone Characterisation'!$O$7</c:f>
              <c:numCache>
                <c:formatCode>0.000</c:formatCode>
                <c:ptCount val="1"/>
                <c:pt idx="0">
                  <c:v>0.872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A93-4133-87A7-95E2FE7AA9F7}"/>
            </c:ext>
          </c:extLst>
        </c:ser>
        <c:ser>
          <c:idx val="2"/>
          <c:order val="2"/>
          <c:tx>
            <c:v>70% Target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'MB Phone Characterisation'!$N$4:$N$5</c:f>
              <c:numCache>
                <c:formatCode>General</c:formatCode>
                <c:ptCount val="2"/>
                <c:pt idx="0">
                  <c:v>1</c:v>
                </c:pt>
                <c:pt idx="1">
                  <c:v>16</c:v>
                </c:pt>
              </c:numCache>
            </c:numRef>
          </c:xVal>
          <c:yVal>
            <c:numRef>
              <c:f>'MB Phone Characterisation'!$O$4:$O$5</c:f>
              <c:numCache>
                <c:formatCode>0.0000</c:formatCode>
                <c:ptCount val="2"/>
                <c:pt idx="0">
                  <c:v>0.8567999999999999</c:v>
                </c:pt>
                <c:pt idx="1">
                  <c:v>0.8567999999999999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A93-4133-87A7-95E2FE7AA9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6620512"/>
        <c:axId val="1585683535"/>
      </c:scatterChart>
      <c:valAx>
        <c:axId val="1326620512"/>
        <c:scaling>
          <c:orientation val="minMax"/>
          <c:max val="16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/>
                  <a:t>Volume step (1 to 16)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5683535"/>
        <c:crosses val="autoZero"/>
        <c:crossBetween val="midCat"/>
        <c:majorUnit val="1"/>
        <c:minorUnit val="1"/>
      </c:valAx>
      <c:valAx>
        <c:axId val="1585683535"/>
        <c:scaling>
          <c:orientation val="minMax"/>
          <c:max val="1.3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Vpp [V]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620512"/>
        <c:crosses val="autoZero"/>
        <c:crossBetween val="midCat"/>
        <c:minorUnit val="0.1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305476514749751"/>
          <c:y val="0.19523075240594923"/>
          <c:w val="0.1902787150108621"/>
          <c:h val="0.6192140565762613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593673</xdr:colOff>
      <xdr:row>4</xdr:row>
      <xdr:rowOff>179112</xdr:rowOff>
    </xdr:from>
    <xdr:to>
      <xdr:col>9</xdr:col>
      <xdr:colOff>18143</xdr:colOff>
      <xdr:row>19</xdr:row>
      <xdr:rowOff>27214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DD1A02-8541-5A98-41FB-56B1F57D5C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BA1CF-20BC-4F6B-92BE-824953D0FE5A}">
  <dimension ref="A1"/>
  <sheetViews>
    <sheetView workbookViewId="0">
      <selection activeCell="A2" sqref="A2"/>
    </sheetView>
  </sheetViews>
  <sheetFormatPr defaultRowHeight="14.5" x14ac:dyDescent="0.35"/>
  <cols>
    <col min="1" max="1" width="19.08984375" bestFit="1" customWidth="1"/>
    <col min="2" max="2" width="10.90625" bestFit="1" customWidth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8CD80-CCEF-4E11-818C-7EC8C40218AC}">
  <dimension ref="A1:O21"/>
  <sheetViews>
    <sheetView zoomScaleNormal="100" workbookViewId="0">
      <selection sqref="A1:O1"/>
    </sheetView>
  </sheetViews>
  <sheetFormatPr defaultRowHeight="14.5" x14ac:dyDescent="0.35"/>
  <cols>
    <col min="1" max="1" width="17.7265625" bestFit="1" customWidth="1"/>
    <col min="2" max="2" width="10.453125" bestFit="1" customWidth="1"/>
    <col min="3" max="3" width="23.453125" style="2" bestFit="1" customWidth="1"/>
    <col min="5" max="5" width="14.6328125" style="1" bestFit="1" customWidth="1"/>
    <col min="6" max="6" width="16.26953125" style="1" bestFit="1" customWidth="1"/>
    <col min="7" max="7" width="17.7265625" style="1" bestFit="1" customWidth="1"/>
    <col min="8" max="8" width="22.453125" bestFit="1" customWidth="1"/>
    <col min="9" max="9" width="6.7265625" style="3" bestFit="1" customWidth="1"/>
    <col min="11" max="11" width="43.08984375" bestFit="1" customWidth="1"/>
    <col min="12" max="12" width="15.6328125" bestFit="1" customWidth="1"/>
    <col min="14" max="14" width="25.7265625" bestFit="1" customWidth="1"/>
    <col min="15" max="15" width="28.453125" bestFit="1" customWidth="1"/>
  </cols>
  <sheetData>
    <row r="1" spans="1:15" x14ac:dyDescent="0.35">
      <c r="A1" s="18" t="s">
        <v>83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3" spans="1:15" x14ac:dyDescent="0.35">
      <c r="A3" s="5" t="s">
        <v>13</v>
      </c>
      <c r="B3" s="5" t="s">
        <v>0</v>
      </c>
      <c r="C3" s="14" t="s">
        <v>15</v>
      </c>
      <c r="D3" s="4"/>
      <c r="E3" s="11" t="s">
        <v>17</v>
      </c>
      <c r="F3" s="11" t="s">
        <v>18</v>
      </c>
      <c r="G3" s="5" t="s">
        <v>16</v>
      </c>
      <c r="H3" s="5" t="s">
        <v>19</v>
      </c>
      <c r="I3" s="12" t="s">
        <v>20</v>
      </c>
      <c r="J3" s="4"/>
      <c r="K3" s="5" t="s">
        <v>21</v>
      </c>
      <c r="L3" s="5"/>
      <c r="M3" s="4"/>
      <c r="N3" s="5" t="s">
        <v>36</v>
      </c>
      <c r="O3" s="5" t="s">
        <v>37</v>
      </c>
    </row>
    <row r="4" spans="1:15" x14ac:dyDescent="0.35">
      <c r="A4" s="6">
        <v>1</v>
      </c>
      <c r="B4" s="6" t="s">
        <v>11</v>
      </c>
      <c r="C4" s="7">
        <f>IF(RIGHT(TRIM(B4),2)="mV",VALUE(LEFT(TRIM(B4),LEN(TRIM(B4))-2))/1000,IF(RIGHT(TRIM(B4),1)="V",VALUE(LEFT(TRIM(B4),LEN(TRIM(B4))-1)),""))</f>
        <v>4.8000000000000001E-2</v>
      </c>
      <c r="E4" s="6" cm="1">
        <f t="array" ref="E4">_xlfn.LET(_xlpm.target,$F$4,_xlpm.steps,$A$4:$A$19,_xlpm.vals,$C$4:$C$19,INDEX(_xlpm.steps,_xlfn.XMATCH(MIN(ABS(_xlpm.vals-_xlpm.target)),ABS(_xlpm.vals-_xlpm.target),0)))</f>
        <v>15</v>
      </c>
      <c r="F4" s="13">
        <f>0.7*MAX($C$4:$C$19)</f>
        <v>0.8567999999999999</v>
      </c>
      <c r="G4" s="7">
        <f>_xlfn.XLOOKUP($E$4,$A$4:$A$19,$C$4:$C$19)</f>
        <v>0.872</v>
      </c>
      <c r="H4" s="6">
        <f>G4-F4</f>
        <v>1.5200000000000102E-2</v>
      </c>
      <c r="I4" s="10">
        <f>(G4-F4)/F4</f>
        <v>1.7740429505135508E-2</v>
      </c>
      <c r="K4" s="6" t="s">
        <v>22</v>
      </c>
      <c r="L4" s="6" t="s">
        <v>23</v>
      </c>
      <c r="N4" s="6">
        <v>1</v>
      </c>
      <c r="O4" s="7">
        <f>$F$4</f>
        <v>0.8567999999999999</v>
      </c>
    </row>
    <row r="5" spans="1:15" x14ac:dyDescent="0.35">
      <c r="A5" s="6">
        <v>2</v>
      </c>
      <c r="B5" s="6" t="s">
        <v>11</v>
      </c>
      <c r="C5" s="7">
        <f t="shared" ref="C5:C19" si="0">IF(RIGHT(TRIM(B5),2)="mV",VALUE(LEFT(TRIM(B5),LEN(TRIM(B5))-2))/1000,IF(RIGHT(TRIM(B5),1)="V",VALUE(LEFT(TRIM(B5),LEN(TRIM(B5))-1)),""))</f>
        <v>4.8000000000000001E-2</v>
      </c>
      <c r="K5" s="6" t="s">
        <v>24</v>
      </c>
      <c r="L5" s="6">
        <v>440</v>
      </c>
      <c r="N5" s="6">
        <v>16</v>
      </c>
      <c r="O5" s="7">
        <f>$F$4</f>
        <v>0.8567999999999999</v>
      </c>
    </row>
    <row r="6" spans="1:15" x14ac:dyDescent="0.35">
      <c r="A6" s="6">
        <v>3</v>
      </c>
      <c r="B6" s="6" t="s">
        <v>11</v>
      </c>
      <c r="C6" s="7">
        <f t="shared" si="0"/>
        <v>4.8000000000000001E-2</v>
      </c>
      <c r="K6" s="6" t="s">
        <v>25</v>
      </c>
      <c r="L6" s="6" t="s">
        <v>26</v>
      </c>
      <c r="N6" s="1"/>
      <c r="O6" s="1"/>
    </row>
    <row r="7" spans="1:15" x14ac:dyDescent="0.35">
      <c r="A7" s="6">
        <v>4</v>
      </c>
      <c r="B7" s="6" t="s">
        <v>11</v>
      </c>
      <c r="C7" s="7">
        <f t="shared" si="0"/>
        <v>4.8000000000000001E-2</v>
      </c>
      <c r="K7" s="6" t="s">
        <v>27</v>
      </c>
      <c r="L7" s="6" t="s">
        <v>28</v>
      </c>
      <c r="N7" s="8">
        <f>$E$4</f>
        <v>15</v>
      </c>
      <c r="O7" s="9">
        <f>$G$4</f>
        <v>0.872</v>
      </c>
    </row>
    <row r="8" spans="1:15" x14ac:dyDescent="0.35">
      <c r="A8" s="6">
        <v>5</v>
      </c>
      <c r="B8" s="6" t="s">
        <v>11</v>
      </c>
      <c r="C8" s="7">
        <f t="shared" si="0"/>
        <v>4.8000000000000001E-2</v>
      </c>
      <c r="K8" s="6" t="s">
        <v>29</v>
      </c>
      <c r="L8" s="7">
        <f>MAX($C$4:$C$19)</f>
        <v>1.224</v>
      </c>
    </row>
    <row r="9" spans="1:15" x14ac:dyDescent="0.35">
      <c r="A9" s="6">
        <v>6</v>
      </c>
      <c r="B9" s="6" t="s">
        <v>11</v>
      </c>
      <c r="C9" s="7">
        <f t="shared" si="0"/>
        <v>4.8000000000000001E-2</v>
      </c>
      <c r="K9" s="6" t="s">
        <v>30</v>
      </c>
      <c r="L9" s="7">
        <f>$F$4</f>
        <v>0.8567999999999999</v>
      </c>
    </row>
    <row r="10" spans="1:15" x14ac:dyDescent="0.35">
      <c r="A10" s="6">
        <v>7</v>
      </c>
      <c r="B10" s="6" t="s">
        <v>14</v>
      </c>
      <c r="C10" s="7">
        <f t="shared" si="0"/>
        <v>5.6000000000000001E-2</v>
      </c>
      <c r="K10" s="6" t="s">
        <v>33</v>
      </c>
      <c r="L10" s="8" t="str">
        <f>"Step "&amp;$E$4</f>
        <v>Step 15</v>
      </c>
    </row>
    <row r="11" spans="1:15" x14ac:dyDescent="0.35">
      <c r="A11" s="6">
        <v>8</v>
      </c>
      <c r="B11" s="6" t="s">
        <v>10</v>
      </c>
      <c r="C11" s="7">
        <f t="shared" si="0"/>
        <v>7.1999999999999995E-2</v>
      </c>
      <c r="K11" s="6" t="s">
        <v>16</v>
      </c>
      <c r="L11" s="7">
        <f>$G$4</f>
        <v>0.872</v>
      </c>
    </row>
    <row r="12" spans="1:15" x14ac:dyDescent="0.35">
      <c r="A12" s="6">
        <v>9</v>
      </c>
      <c r="B12" s="6" t="s">
        <v>9</v>
      </c>
      <c r="C12" s="7">
        <f t="shared" si="0"/>
        <v>0.104</v>
      </c>
      <c r="K12" s="6" t="s">
        <v>19</v>
      </c>
      <c r="L12" s="7">
        <f>$H$4</f>
        <v>1.5200000000000102E-2</v>
      </c>
    </row>
    <row r="13" spans="1:15" x14ac:dyDescent="0.35">
      <c r="A13" s="6">
        <v>10</v>
      </c>
      <c r="B13" s="6" t="s">
        <v>8</v>
      </c>
      <c r="C13" s="7">
        <f t="shared" si="0"/>
        <v>0.152</v>
      </c>
      <c r="K13" s="6" t="s">
        <v>31</v>
      </c>
      <c r="L13" s="10">
        <f>$I$4</f>
        <v>1.7740429505135508E-2</v>
      </c>
    </row>
    <row r="14" spans="1:15" x14ac:dyDescent="0.35">
      <c r="A14" s="6">
        <v>11</v>
      </c>
      <c r="B14" s="6" t="s">
        <v>7</v>
      </c>
      <c r="C14" s="7">
        <f t="shared" si="0"/>
        <v>0.20799999999999999</v>
      </c>
      <c r="K14" s="6" t="s">
        <v>32</v>
      </c>
      <c r="L14" s="7">
        <f>$G$4/(2*SQRT(2))</f>
        <v>0.30829855659733468</v>
      </c>
    </row>
    <row r="15" spans="1:15" x14ac:dyDescent="0.35">
      <c r="A15" s="6">
        <v>12</v>
      </c>
      <c r="B15" s="6" t="s">
        <v>12</v>
      </c>
      <c r="C15" s="7">
        <f t="shared" si="0"/>
        <v>0.32</v>
      </c>
      <c r="K15" s="6" t="s">
        <v>34</v>
      </c>
      <c r="L15" s="7">
        <f>$G$4</f>
        <v>0.872</v>
      </c>
    </row>
    <row r="16" spans="1:15" x14ac:dyDescent="0.35">
      <c r="A16" s="6">
        <v>13</v>
      </c>
      <c r="B16" s="6" t="s">
        <v>6</v>
      </c>
      <c r="C16" s="7">
        <f t="shared" si="0"/>
        <v>0.44800000000000001</v>
      </c>
      <c r="K16" s="6" t="s">
        <v>35</v>
      </c>
      <c r="L16" s="7">
        <f>$L$14</f>
        <v>0.30829855659733468</v>
      </c>
    </row>
    <row r="17" spans="1:3" x14ac:dyDescent="0.35">
      <c r="A17" s="6">
        <v>14</v>
      </c>
      <c r="B17" s="6" t="s">
        <v>5</v>
      </c>
      <c r="C17" s="7">
        <f t="shared" si="0"/>
        <v>0.624</v>
      </c>
    </row>
    <row r="18" spans="1:3" x14ac:dyDescent="0.35">
      <c r="A18" s="6">
        <v>15</v>
      </c>
      <c r="B18" s="6" t="s">
        <v>4</v>
      </c>
      <c r="C18" s="7">
        <f t="shared" si="0"/>
        <v>0.872</v>
      </c>
    </row>
    <row r="19" spans="1:3" x14ac:dyDescent="0.35">
      <c r="A19" s="6">
        <v>16</v>
      </c>
      <c r="B19" s="6" t="s">
        <v>3</v>
      </c>
      <c r="C19" s="7">
        <f t="shared" si="0"/>
        <v>1.224</v>
      </c>
    </row>
    <row r="20" spans="1:3" x14ac:dyDescent="0.35">
      <c r="A20" s="1"/>
    </row>
    <row r="21" spans="1:3" x14ac:dyDescent="0.35">
      <c r="A21" s="1"/>
    </row>
  </sheetData>
  <mergeCells count="1">
    <mergeCell ref="A1:O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E6E90-26AE-4754-83CD-53EB1989E402}">
  <dimension ref="A1:D35"/>
  <sheetViews>
    <sheetView tabSelected="1" zoomScale="110" zoomScaleNormal="110" workbookViewId="0"/>
  </sheetViews>
  <sheetFormatPr defaultRowHeight="14.5" x14ac:dyDescent="0.35"/>
  <cols>
    <col min="1" max="1" width="30.08984375" bestFit="1" customWidth="1"/>
    <col min="2" max="2" width="12" bestFit="1" customWidth="1"/>
    <col min="3" max="3" width="5.7265625" bestFit="1" customWidth="1"/>
    <col min="4" max="4" width="38.90625" bestFit="1" customWidth="1"/>
  </cols>
  <sheetData>
    <row r="1" spans="1:4" x14ac:dyDescent="0.35">
      <c r="A1" s="5" t="s">
        <v>40</v>
      </c>
      <c r="B1" s="5" t="s">
        <v>38</v>
      </c>
      <c r="C1" s="5" t="s">
        <v>39</v>
      </c>
      <c r="D1" s="5" t="s">
        <v>70</v>
      </c>
    </row>
    <row r="2" spans="1:4" x14ac:dyDescent="0.35">
      <c r="A2" s="16" t="s">
        <v>78</v>
      </c>
      <c r="B2" s="16"/>
      <c r="C2" s="16"/>
      <c r="D2" s="17"/>
    </row>
    <row r="3" spans="1:4" x14ac:dyDescent="0.35">
      <c r="A3" s="6" t="s">
        <v>41</v>
      </c>
      <c r="B3" s="6">
        <f>'MB Phone Characterisation'!L8</f>
        <v>1.224</v>
      </c>
      <c r="C3" s="6" t="s">
        <v>42</v>
      </c>
      <c r="D3" s="6"/>
    </row>
    <row r="4" spans="1:4" x14ac:dyDescent="0.35">
      <c r="A4" s="6" t="s">
        <v>43</v>
      </c>
      <c r="B4" s="6">
        <f>0.7*B3</f>
        <v>0.8567999999999999</v>
      </c>
      <c r="C4" s="6" t="s">
        <v>42</v>
      </c>
      <c r="D4" s="6"/>
    </row>
    <row r="5" spans="1:4" x14ac:dyDescent="0.35">
      <c r="A5" s="6" t="s">
        <v>44</v>
      </c>
      <c r="B5" s="6">
        <f>'MB Phone Characterisation'!L15</f>
        <v>0.872</v>
      </c>
      <c r="C5" s="6" t="s">
        <v>42</v>
      </c>
      <c r="D5" s="6"/>
    </row>
    <row r="6" spans="1:4" x14ac:dyDescent="0.35">
      <c r="A6" s="6" t="s">
        <v>45</v>
      </c>
      <c r="B6" s="6">
        <f>'MB Phone Characterisation'!L16</f>
        <v>0.30829855659733468</v>
      </c>
      <c r="C6" s="6" t="s">
        <v>42</v>
      </c>
      <c r="D6" s="6"/>
    </row>
    <row r="7" spans="1:4" x14ac:dyDescent="0.35">
      <c r="A7" s="16" t="s">
        <v>82</v>
      </c>
      <c r="B7" s="16"/>
      <c r="C7" s="16"/>
      <c r="D7" s="17"/>
    </row>
    <row r="8" spans="1:4" x14ac:dyDescent="0.35">
      <c r="A8" s="6" t="s">
        <v>46</v>
      </c>
      <c r="B8" s="6">
        <v>3</v>
      </c>
      <c r="C8" s="6" t="s">
        <v>42</v>
      </c>
      <c r="D8" s="6"/>
    </row>
    <row r="9" spans="1:4" x14ac:dyDescent="0.35">
      <c r="A9" s="6" t="s">
        <v>47</v>
      </c>
      <c r="B9" s="6">
        <f>B8/B5</f>
        <v>3.4403669724770642</v>
      </c>
      <c r="C9" s="6" t="s">
        <v>48</v>
      </c>
      <c r="D9" s="6"/>
    </row>
    <row r="10" spans="1:4" x14ac:dyDescent="0.35">
      <c r="A10" s="6" t="s">
        <v>49</v>
      </c>
      <c r="B10" s="6">
        <f>20*LOG10(B9)</f>
        <v>10.732095395741904</v>
      </c>
      <c r="C10" s="6" t="s">
        <v>1</v>
      </c>
      <c r="D10" s="6"/>
    </row>
    <row r="11" spans="1:4" x14ac:dyDescent="0.35">
      <c r="A11" s="6"/>
      <c r="B11" s="6"/>
      <c r="C11" s="6"/>
      <c r="D11" s="6"/>
    </row>
    <row r="12" spans="1:4" x14ac:dyDescent="0.35">
      <c r="A12" s="6" t="s">
        <v>50</v>
      </c>
      <c r="B12" s="6">
        <v>82000</v>
      </c>
      <c r="C12" s="6" t="s">
        <v>2</v>
      </c>
      <c r="D12" s="6" t="s">
        <v>51</v>
      </c>
    </row>
    <row r="13" spans="1:4" x14ac:dyDescent="0.35">
      <c r="A13" s="6" t="s">
        <v>52</v>
      </c>
      <c r="B13" s="6">
        <f>B12/B9</f>
        <v>23834.666666666668</v>
      </c>
      <c r="C13" s="6" t="s">
        <v>2</v>
      </c>
      <c r="D13" s="6"/>
    </row>
    <row r="14" spans="1:4" x14ac:dyDescent="0.35">
      <c r="A14" s="6" t="s">
        <v>53</v>
      </c>
      <c r="B14" s="6">
        <v>24000</v>
      </c>
      <c r="C14" s="6" t="s">
        <v>2</v>
      </c>
      <c r="D14" s="6" t="s">
        <v>54</v>
      </c>
    </row>
    <row r="15" spans="1:4" x14ac:dyDescent="0.35">
      <c r="A15" s="6" t="s">
        <v>55</v>
      </c>
      <c r="B15" s="6">
        <f>B12/B14</f>
        <v>3.4166666666666665</v>
      </c>
      <c r="C15" s="6" t="s">
        <v>48</v>
      </c>
      <c r="D15" s="6"/>
    </row>
    <row r="16" spans="1:4" x14ac:dyDescent="0.35">
      <c r="A16" s="6" t="s">
        <v>56</v>
      </c>
      <c r="B16" s="6">
        <f>20*LOG10(B15)</f>
        <v>10.672052213442214</v>
      </c>
      <c r="C16" s="6" t="s">
        <v>1</v>
      </c>
      <c r="D16" s="6"/>
    </row>
    <row r="17" spans="1:4" x14ac:dyDescent="0.35">
      <c r="A17" s="16" t="s">
        <v>79</v>
      </c>
      <c r="B17" s="16"/>
      <c r="C17" s="16"/>
      <c r="D17" s="17"/>
    </row>
    <row r="18" spans="1:4" x14ac:dyDescent="0.35">
      <c r="A18" s="6" t="s">
        <v>71</v>
      </c>
      <c r="B18" s="6">
        <v>5</v>
      </c>
      <c r="C18" s="6" t="s">
        <v>57</v>
      </c>
      <c r="D18" s="6"/>
    </row>
    <row r="19" spans="1:4" x14ac:dyDescent="0.35">
      <c r="A19" s="6" t="s">
        <v>58</v>
      </c>
      <c r="B19" s="6">
        <f>1/(2*PI()*B14*B18)</f>
        <v>1.3262911924324611E-6</v>
      </c>
      <c r="C19" s="6" t="s">
        <v>59</v>
      </c>
      <c r="D19" s="6"/>
    </row>
    <row r="20" spans="1:4" x14ac:dyDescent="0.35">
      <c r="A20" s="6" t="s">
        <v>60</v>
      </c>
      <c r="B20" s="15">
        <v>9.9999999999999995E-7</v>
      </c>
      <c r="C20" s="6" t="s">
        <v>59</v>
      </c>
      <c r="D20" s="6" t="s">
        <v>61</v>
      </c>
    </row>
    <row r="21" spans="1:4" x14ac:dyDescent="0.35">
      <c r="A21" s="6" t="s">
        <v>62</v>
      </c>
      <c r="B21" s="6">
        <f>1/(2*PI()*B14*B20)</f>
        <v>6.6314559621623062</v>
      </c>
      <c r="C21" s="6" t="s">
        <v>57</v>
      </c>
      <c r="D21" s="6"/>
    </row>
    <row r="22" spans="1:4" x14ac:dyDescent="0.35">
      <c r="A22" s="16" t="s">
        <v>80</v>
      </c>
      <c r="B22" s="16"/>
      <c r="C22" s="16"/>
      <c r="D22" s="17"/>
    </row>
    <row r="23" spans="1:4" x14ac:dyDescent="0.35">
      <c r="A23" s="6" t="s">
        <v>63</v>
      </c>
      <c r="B23" s="6">
        <v>29000</v>
      </c>
      <c r="C23" s="6" t="s">
        <v>57</v>
      </c>
      <c r="D23" s="6"/>
    </row>
    <row r="24" spans="1:4" x14ac:dyDescent="0.35">
      <c r="A24" s="6" t="s">
        <v>64</v>
      </c>
      <c r="B24" s="6">
        <f>1/(2*PI()*$B$12*B23)</f>
        <v>6.6928066901553963E-11</v>
      </c>
      <c r="C24" s="6" t="s">
        <v>59</v>
      </c>
      <c r="D24" s="6"/>
    </row>
    <row r="25" spans="1:4" x14ac:dyDescent="0.35">
      <c r="A25" s="6" t="s">
        <v>65</v>
      </c>
      <c r="B25" s="15">
        <v>6.7999999999999998E-11</v>
      </c>
      <c r="C25" s="6" t="s">
        <v>59</v>
      </c>
      <c r="D25" s="6" t="s">
        <v>66</v>
      </c>
    </row>
    <row r="26" spans="1:4" x14ac:dyDescent="0.35">
      <c r="A26" s="6" t="s">
        <v>67</v>
      </c>
      <c r="B26" s="6">
        <f>1/(2*PI()*$B$12*$B$25)</f>
        <v>28542.852060956844</v>
      </c>
      <c r="C26" s="6" t="s">
        <v>57</v>
      </c>
      <c r="D26" s="6"/>
    </row>
    <row r="27" spans="1:4" x14ac:dyDescent="0.35">
      <c r="A27" s="16" t="s">
        <v>81</v>
      </c>
      <c r="B27" s="16"/>
      <c r="C27" s="16"/>
      <c r="D27" s="17"/>
    </row>
    <row r="28" spans="1:4" x14ac:dyDescent="0.35">
      <c r="A28" s="6" t="s">
        <v>68</v>
      </c>
      <c r="B28" s="15">
        <v>9.9999999999999995E-8</v>
      </c>
      <c r="C28" s="6" t="s">
        <v>59</v>
      </c>
      <c r="D28" s="6" t="s">
        <v>72</v>
      </c>
    </row>
    <row r="29" spans="1:4" x14ac:dyDescent="0.35">
      <c r="A29" s="6" t="s">
        <v>69</v>
      </c>
      <c r="B29" s="15">
        <v>9.9999999999999995E-8</v>
      </c>
      <c r="C29" s="6" t="s">
        <v>59</v>
      </c>
      <c r="D29" s="6" t="s">
        <v>72</v>
      </c>
    </row>
    <row r="30" spans="1:4" x14ac:dyDescent="0.35">
      <c r="A30" s="6"/>
      <c r="B30" s="6"/>
      <c r="C30" s="6"/>
      <c r="D30" s="6"/>
    </row>
    <row r="31" spans="1:4" x14ac:dyDescent="0.35">
      <c r="A31" s="6" t="s">
        <v>73</v>
      </c>
      <c r="B31" s="15">
        <v>9.9999999999999995E-8</v>
      </c>
      <c r="C31" s="6" t="s">
        <v>59</v>
      </c>
      <c r="D31" s="6" t="s">
        <v>72</v>
      </c>
    </row>
    <row r="32" spans="1:4" x14ac:dyDescent="0.35">
      <c r="A32" s="6" t="s">
        <v>74</v>
      </c>
      <c r="B32" s="15">
        <v>9.9999999999999995E-8</v>
      </c>
      <c r="C32" s="6" t="s">
        <v>59</v>
      </c>
      <c r="D32" s="6" t="s">
        <v>72</v>
      </c>
    </row>
    <row r="33" spans="1:4" x14ac:dyDescent="0.35">
      <c r="A33" s="6"/>
      <c r="B33" s="6"/>
      <c r="C33" s="6"/>
      <c r="D33" s="6"/>
    </row>
    <row r="34" spans="1:4" x14ac:dyDescent="0.35">
      <c r="A34" s="6" t="s">
        <v>75</v>
      </c>
      <c r="B34" s="15">
        <v>1.0000000000000001E-5</v>
      </c>
      <c r="C34" s="6" t="s">
        <v>59</v>
      </c>
      <c r="D34" s="6" t="s">
        <v>77</v>
      </c>
    </row>
    <row r="35" spans="1:4" x14ac:dyDescent="0.35">
      <c r="A35" s="6" t="s">
        <v>76</v>
      </c>
      <c r="B35" s="15">
        <v>1.0000000000000001E-5</v>
      </c>
      <c r="C35" s="6" t="s">
        <v>59</v>
      </c>
      <c r="D35" s="6" t="s">
        <v>77</v>
      </c>
    </row>
  </sheetData>
  <mergeCells count="5">
    <mergeCell ref="A2:D2"/>
    <mergeCell ref="A7:D7"/>
    <mergeCell ref="A17:D17"/>
    <mergeCell ref="A22:D22"/>
    <mergeCell ref="A27:D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Play ground </vt:lpstr>
      <vt:lpstr>MB Phone Characterisation</vt:lpstr>
      <vt:lpstr>Design Calculations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Adjei (Student)</dc:creator>
  <cp:lastModifiedBy>Isaac Adjei (Student)</cp:lastModifiedBy>
  <dcterms:created xsi:type="dcterms:W3CDTF">2026-01-19T09:42:34Z</dcterms:created>
  <dcterms:modified xsi:type="dcterms:W3CDTF">2026-02-18T23:13:00Z</dcterms:modified>
</cp:coreProperties>
</file>