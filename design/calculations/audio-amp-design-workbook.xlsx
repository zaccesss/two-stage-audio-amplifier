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rojects/Project 1 - Audio Amplifier Project/Audio Amplifier Design Calculations/"/>
    </mc:Choice>
  </mc:AlternateContent>
  <xr:revisionPtr revIDLastSave="309" documentId="8_{C3A33D06-8C18-49FA-9304-8BDA4E8AF1C8}" xr6:coauthVersionLast="47" xr6:coauthVersionMax="47" xr10:uidLastSave="{43F0706B-65DD-4B9F-B992-E23509F543E3}"/>
  <bookViews>
    <workbookView xWindow="-110" yWindow="-110" windowWidth="19420" windowHeight="11500" activeTab="3" xr2:uid="{F874AF82-0CCE-4655-966D-E04D44C43FC1}"/>
  </bookViews>
  <sheets>
    <sheet name="Project Overview" sheetId="12" r:id="rId1"/>
    <sheet name="Mobile Phone Characterisation" sheetId="2" r:id="rId2"/>
    <sheet name="Design Calculations" sheetId="3" r:id="rId3"/>
    <sheet name="BOM" sheetId="26" r:id="rId4"/>
    <sheet name="Proteus - AFS (Dual Supply)" sheetId="14" r:id="rId5"/>
    <sheet name="Breadboard - AFS (Dual-Supply)" sheetId="15" r:id="rId6"/>
    <sheet name="Combined Dual Supply (BB+Sim)" sheetId="16" r:id="rId7"/>
    <sheet name="Proteus - AFS (Single-Supply)" sheetId="17" r:id="rId8"/>
    <sheet name="Breadboard - AFS (Single-Supply" sheetId="18" r:id="rId9"/>
    <sheet name="Combined Single Supply (BB+Sim)" sheetId="19" r:id="rId10"/>
    <sheet name="final-simulation ( Proteus)" sheetId="20" r:id="rId11"/>
    <sheet name="PCB - AFS (470n - Capacitor)" sheetId="21" r:id="rId12"/>
    <sheet name="PCB - final simulation (8r2)" sheetId="22" r:id="rId13"/>
    <sheet name="Combined Sim + PCB" sheetId="23" r:id="rId14"/>
    <sheet name="Working Area|PlayGround" sheetId="25" r:id="rId15"/>
  </sheets>
  <externalReferences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23" l="1"/>
  <c r="Q48" i="23" s="1"/>
  <c r="P47" i="23"/>
  <c r="Q47" i="23" s="1"/>
  <c r="P46" i="23"/>
  <c r="Q46" i="23" s="1"/>
  <c r="P45" i="23"/>
  <c r="Q45" i="23" s="1"/>
  <c r="P44" i="23"/>
  <c r="Q44" i="23" s="1"/>
  <c r="P43" i="23"/>
  <c r="Q43" i="23" s="1"/>
  <c r="P42" i="23"/>
  <c r="Q42" i="23" s="1"/>
  <c r="P41" i="23"/>
  <c r="Q41" i="23" s="1"/>
  <c r="P40" i="23"/>
  <c r="Q40" i="23" s="1"/>
  <c r="P39" i="23"/>
  <c r="Q39" i="23" s="1"/>
  <c r="P38" i="23"/>
  <c r="Q38" i="23" s="1"/>
  <c r="P37" i="23"/>
  <c r="Q37" i="23" s="1"/>
  <c r="P36" i="23"/>
  <c r="Q36" i="23" s="1"/>
  <c r="P35" i="23"/>
  <c r="Q35" i="23" s="1"/>
  <c r="P34" i="23"/>
  <c r="Q34" i="23" s="1"/>
  <c r="P33" i="23"/>
  <c r="Q33" i="23" s="1"/>
  <c r="P32" i="23"/>
  <c r="Q32" i="23" s="1"/>
  <c r="P31" i="23"/>
  <c r="Q31" i="23" s="1"/>
  <c r="P30" i="23"/>
  <c r="Q30" i="23" s="1"/>
  <c r="P29" i="23"/>
  <c r="Q29" i="23" s="1"/>
  <c r="P28" i="23"/>
  <c r="Q28" i="23" s="1"/>
  <c r="P27" i="23"/>
  <c r="Q27" i="23" s="1"/>
  <c r="P23" i="23"/>
  <c r="Q23" i="23" s="1"/>
  <c r="P22" i="23"/>
  <c r="Q22" i="23" s="1"/>
  <c r="P21" i="23"/>
  <c r="Q21" i="23" s="1"/>
  <c r="P20" i="23"/>
  <c r="Q20" i="23" s="1"/>
  <c r="P19" i="23"/>
  <c r="Q19" i="23" s="1"/>
  <c r="P18" i="23"/>
  <c r="Q18" i="23" s="1"/>
  <c r="P17" i="23"/>
  <c r="Q17" i="23" s="1"/>
  <c r="P16" i="23"/>
  <c r="Q16" i="23" s="1"/>
  <c r="P15" i="23"/>
  <c r="Q15" i="23" s="1"/>
  <c r="P14" i="23"/>
  <c r="Q14" i="23" s="1"/>
  <c r="P13" i="23"/>
  <c r="Q13" i="23" s="1"/>
  <c r="P12" i="23"/>
  <c r="Q12" i="23" s="1"/>
  <c r="P11" i="23"/>
  <c r="Q11" i="23" s="1"/>
  <c r="P10" i="23"/>
  <c r="Q10" i="23" s="1"/>
  <c r="P9" i="23"/>
  <c r="Q9" i="23" s="1"/>
  <c r="P8" i="23"/>
  <c r="Q8" i="23" s="1"/>
  <c r="P7" i="23"/>
  <c r="Q7" i="23" s="1"/>
  <c r="P6" i="23"/>
  <c r="Q6" i="23" s="1"/>
  <c r="P5" i="23"/>
  <c r="Q5" i="23" s="1"/>
  <c r="P4" i="23"/>
  <c r="Q4" i="23" s="1"/>
  <c r="P3" i="23"/>
  <c r="Q3" i="23" s="1"/>
  <c r="P2" i="23"/>
  <c r="Q2" i="23" s="1"/>
  <c r="B35" i="22"/>
  <c r="D30" i="22"/>
  <c r="E30" i="22" s="1"/>
  <c r="F30" i="22" s="1"/>
  <c r="D29" i="22"/>
  <c r="E29" i="22" s="1"/>
  <c r="F29" i="22" s="1"/>
  <c r="D28" i="22"/>
  <c r="E28" i="22" s="1"/>
  <c r="F28" i="22" s="1"/>
  <c r="D27" i="22"/>
  <c r="E27" i="22" s="1"/>
  <c r="F27" i="22" s="1"/>
  <c r="D26" i="22"/>
  <c r="E26" i="22" s="1"/>
  <c r="F26" i="22" s="1"/>
  <c r="D25" i="22"/>
  <c r="E25" i="22" s="1"/>
  <c r="F25" i="22" s="1"/>
  <c r="D24" i="22"/>
  <c r="E24" i="22" s="1"/>
  <c r="F24" i="22" s="1"/>
  <c r="D23" i="22"/>
  <c r="E23" i="22" s="1"/>
  <c r="F23" i="22" s="1"/>
  <c r="D22" i="22"/>
  <c r="E22" i="22" s="1"/>
  <c r="F22" i="22" s="1"/>
  <c r="D21" i="22"/>
  <c r="E21" i="22" s="1"/>
  <c r="F21" i="22" s="1"/>
  <c r="D20" i="22"/>
  <c r="E20" i="22" s="1"/>
  <c r="F20" i="22" s="1"/>
  <c r="D19" i="22"/>
  <c r="E19" i="22" s="1"/>
  <c r="F19" i="22" s="1"/>
  <c r="D18" i="22"/>
  <c r="E18" i="22" s="1"/>
  <c r="F18" i="22" s="1"/>
  <c r="D17" i="22"/>
  <c r="E17" i="22" s="1"/>
  <c r="F17" i="22" s="1"/>
  <c r="D16" i="22"/>
  <c r="E16" i="22" s="1"/>
  <c r="F16" i="22" s="1"/>
  <c r="E15" i="22"/>
  <c r="F15" i="22" s="1"/>
  <c r="D15" i="22"/>
  <c r="D14" i="22"/>
  <c r="E14" i="22" s="1"/>
  <c r="F14" i="22" s="1"/>
  <c r="D13" i="22"/>
  <c r="E13" i="22" s="1"/>
  <c r="F13" i="22" s="1"/>
  <c r="D12" i="22"/>
  <c r="E12" i="22" s="1"/>
  <c r="F12" i="22" s="1"/>
  <c r="D11" i="22"/>
  <c r="E11" i="22" s="1"/>
  <c r="F11" i="22" s="1"/>
  <c r="D10" i="22"/>
  <c r="E10" i="22" s="1"/>
  <c r="F10" i="22" s="1"/>
  <c r="B5" i="22"/>
  <c r="B35" i="21"/>
  <c r="D30" i="21"/>
  <c r="E30" i="21" s="1"/>
  <c r="F30" i="21" s="1"/>
  <c r="D29" i="21"/>
  <c r="E29" i="21" s="1"/>
  <c r="F29" i="21" s="1"/>
  <c r="D28" i="21"/>
  <c r="E28" i="21" s="1"/>
  <c r="F28" i="21" s="1"/>
  <c r="D27" i="21"/>
  <c r="E27" i="21" s="1"/>
  <c r="F27" i="21" s="1"/>
  <c r="D26" i="21"/>
  <c r="E26" i="21" s="1"/>
  <c r="F26" i="21" s="1"/>
  <c r="D25" i="21"/>
  <c r="E25" i="21" s="1"/>
  <c r="F25" i="21" s="1"/>
  <c r="D24" i="21"/>
  <c r="E24" i="21" s="1"/>
  <c r="F24" i="21" s="1"/>
  <c r="D23" i="21"/>
  <c r="E23" i="21" s="1"/>
  <c r="F23" i="21" s="1"/>
  <c r="D22" i="21"/>
  <c r="E22" i="21" s="1"/>
  <c r="F22" i="21" s="1"/>
  <c r="D21" i="21"/>
  <c r="E21" i="21" s="1"/>
  <c r="F21" i="21" s="1"/>
  <c r="D20" i="21"/>
  <c r="E20" i="21" s="1"/>
  <c r="F20" i="21" s="1"/>
  <c r="E19" i="21"/>
  <c r="F19" i="21" s="1"/>
  <c r="D19" i="21"/>
  <c r="D18" i="21"/>
  <c r="E18" i="21" s="1"/>
  <c r="F18" i="21" s="1"/>
  <c r="D17" i="21"/>
  <c r="E17" i="21" s="1"/>
  <c r="F17" i="21" s="1"/>
  <c r="D16" i="21"/>
  <c r="E16" i="21" s="1"/>
  <c r="F16" i="21" s="1"/>
  <c r="E15" i="21"/>
  <c r="F15" i="21" s="1"/>
  <c r="D15" i="21"/>
  <c r="D14" i="21"/>
  <c r="E14" i="21" s="1"/>
  <c r="F14" i="21" s="1"/>
  <c r="D13" i="21"/>
  <c r="E13" i="21" s="1"/>
  <c r="F13" i="21" s="1"/>
  <c r="D12" i="21"/>
  <c r="E12" i="21" s="1"/>
  <c r="F12" i="21" s="1"/>
  <c r="D11" i="21"/>
  <c r="E11" i="21" s="1"/>
  <c r="F11" i="21" s="1"/>
  <c r="D10" i="21"/>
  <c r="E10" i="21" s="1"/>
  <c r="F10" i="21" s="1"/>
  <c r="B5" i="21"/>
  <c r="P23" i="19"/>
  <c r="Q23" i="19" s="1"/>
  <c r="P22" i="19"/>
  <c r="Q22" i="19" s="1"/>
  <c r="P21" i="19"/>
  <c r="Q21" i="19" s="1"/>
  <c r="P20" i="19"/>
  <c r="Q20" i="19" s="1"/>
  <c r="P19" i="19"/>
  <c r="Q19" i="19" s="1"/>
  <c r="P18" i="19"/>
  <c r="Q18" i="19" s="1"/>
  <c r="P17" i="19"/>
  <c r="Q17" i="19" s="1"/>
  <c r="Q16" i="19"/>
  <c r="P16" i="19"/>
  <c r="P15" i="19"/>
  <c r="Q15" i="19" s="1"/>
  <c r="P14" i="19"/>
  <c r="Q14" i="19" s="1"/>
  <c r="P13" i="19"/>
  <c r="Q13" i="19" s="1"/>
  <c r="P12" i="19"/>
  <c r="Q12" i="19" s="1"/>
  <c r="P11" i="19"/>
  <c r="Q11" i="19" s="1"/>
  <c r="P10" i="19"/>
  <c r="Q10" i="19" s="1"/>
  <c r="P9" i="19"/>
  <c r="Q9" i="19" s="1"/>
  <c r="P8" i="19"/>
  <c r="Q8" i="19" s="1"/>
  <c r="P7" i="19"/>
  <c r="Q7" i="19" s="1"/>
  <c r="P6" i="19"/>
  <c r="Q6" i="19" s="1"/>
  <c r="P5" i="19"/>
  <c r="Q5" i="19" s="1"/>
  <c r="P4" i="19"/>
  <c r="Q4" i="19" s="1"/>
  <c r="P3" i="19"/>
  <c r="Q3" i="19" s="1"/>
  <c r="P2" i="19"/>
  <c r="Q2" i="19" s="1"/>
  <c r="B35" i="18"/>
  <c r="D30" i="18"/>
  <c r="E30" i="18" s="1"/>
  <c r="F30" i="18" s="1"/>
  <c r="E29" i="18"/>
  <c r="F29" i="18" s="1"/>
  <c r="D29" i="18"/>
  <c r="D28" i="18"/>
  <c r="E28" i="18" s="1"/>
  <c r="F28" i="18" s="1"/>
  <c r="D27" i="18"/>
  <c r="E27" i="18" s="1"/>
  <c r="F27" i="18" s="1"/>
  <c r="D26" i="18"/>
  <c r="E26" i="18" s="1"/>
  <c r="F26" i="18" s="1"/>
  <c r="D25" i="18"/>
  <c r="E25" i="18" s="1"/>
  <c r="F25" i="18" s="1"/>
  <c r="D24" i="18"/>
  <c r="E24" i="18" s="1"/>
  <c r="F24" i="18" s="1"/>
  <c r="D23" i="18"/>
  <c r="E23" i="18" s="1"/>
  <c r="F23" i="18" s="1"/>
  <c r="D22" i="18"/>
  <c r="E22" i="18" s="1"/>
  <c r="F22" i="18" s="1"/>
  <c r="D21" i="18"/>
  <c r="E21" i="18" s="1"/>
  <c r="F21" i="18" s="1"/>
  <c r="D20" i="18"/>
  <c r="E20" i="18" s="1"/>
  <c r="F20" i="18" s="1"/>
  <c r="D19" i="18"/>
  <c r="E19" i="18" s="1"/>
  <c r="F19" i="18" s="1"/>
  <c r="D18" i="18"/>
  <c r="E18" i="18" s="1"/>
  <c r="F18" i="18" s="1"/>
  <c r="D17" i="18"/>
  <c r="E17" i="18" s="1"/>
  <c r="F17" i="18" s="1"/>
  <c r="D16" i="18"/>
  <c r="E16" i="18" s="1"/>
  <c r="F16" i="18" s="1"/>
  <c r="E15" i="18"/>
  <c r="F15" i="18" s="1"/>
  <c r="D15" i="18"/>
  <c r="D14" i="18"/>
  <c r="E14" i="18" s="1"/>
  <c r="F14" i="18" s="1"/>
  <c r="E13" i="18"/>
  <c r="F13" i="18" s="1"/>
  <c r="D13" i="18"/>
  <c r="D12" i="18"/>
  <c r="E12" i="18" s="1"/>
  <c r="F12" i="18" s="1"/>
  <c r="D11" i="18"/>
  <c r="E11" i="18" s="1"/>
  <c r="F11" i="18" s="1"/>
  <c r="D10" i="18"/>
  <c r="E10" i="18" s="1"/>
  <c r="F10" i="18" s="1"/>
  <c r="B5" i="18"/>
  <c r="P23" i="16"/>
  <c r="Q23" i="16" s="1"/>
  <c r="Q22" i="16"/>
  <c r="P22" i="16"/>
  <c r="P21" i="16"/>
  <c r="Q21" i="16" s="1"/>
  <c r="P20" i="16"/>
  <c r="Q20" i="16" s="1"/>
  <c r="P19" i="16"/>
  <c r="Q19" i="16" s="1"/>
  <c r="P18" i="16"/>
  <c r="Q18" i="16" s="1"/>
  <c r="P17" i="16"/>
  <c r="Q17" i="16" s="1"/>
  <c r="P16" i="16"/>
  <c r="Q16" i="16" s="1"/>
  <c r="P15" i="16"/>
  <c r="Q15" i="16" s="1"/>
  <c r="Q14" i="16"/>
  <c r="P14" i="16"/>
  <c r="P13" i="16"/>
  <c r="Q13" i="16" s="1"/>
  <c r="P12" i="16"/>
  <c r="Q12" i="16" s="1"/>
  <c r="P11" i="16"/>
  <c r="Q11" i="16" s="1"/>
  <c r="P10" i="16"/>
  <c r="Q10" i="16" s="1"/>
  <c r="P9" i="16"/>
  <c r="Q9" i="16" s="1"/>
  <c r="P8" i="16"/>
  <c r="Q8" i="16" s="1"/>
  <c r="P7" i="16"/>
  <c r="Q7" i="16" s="1"/>
  <c r="Q6" i="16"/>
  <c r="P6" i="16"/>
  <c r="P5" i="16"/>
  <c r="Q5" i="16" s="1"/>
  <c r="P4" i="16"/>
  <c r="Q4" i="16" s="1"/>
  <c r="P3" i="16"/>
  <c r="Q3" i="16" s="1"/>
  <c r="P2" i="16"/>
  <c r="Q2" i="16" s="1"/>
  <c r="B35" i="15"/>
  <c r="D30" i="15"/>
  <c r="E30" i="15" s="1"/>
  <c r="F30" i="15" s="1"/>
  <c r="D29" i="15"/>
  <c r="E29" i="15" s="1"/>
  <c r="F29" i="15" s="1"/>
  <c r="D28" i="15"/>
  <c r="E28" i="15" s="1"/>
  <c r="F28" i="15" s="1"/>
  <c r="D27" i="15"/>
  <c r="E27" i="15" s="1"/>
  <c r="F27" i="15" s="1"/>
  <c r="D26" i="15"/>
  <c r="E26" i="15" s="1"/>
  <c r="F26" i="15" s="1"/>
  <c r="D25" i="15"/>
  <c r="E25" i="15" s="1"/>
  <c r="F25" i="15" s="1"/>
  <c r="D24" i="15"/>
  <c r="E24" i="15" s="1"/>
  <c r="F24" i="15" s="1"/>
  <c r="D23" i="15"/>
  <c r="E23" i="15" s="1"/>
  <c r="F23" i="15" s="1"/>
  <c r="D22" i="15"/>
  <c r="E22" i="15" s="1"/>
  <c r="F22" i="15" s="1"/>
  <c r="D21" i="15"/>
  <c r="E21" i="15" s="1"/>
  <c r="F21" i="15" s="1"/>
  <c r="D20" i="15"/>
  <c r="E20" i="15" s="1"/>
  <c r="F20" i="15" s="1"/>
  <c r="E19" i="15"/>
  <c r="F19" i="15" s="1"/>
  <c r="D19" i="15"/>
  <c r="D18" i="15"/>
  <c r="E18" i="15" s="1"/>
  <c r="F18" i="15" s="1"/>
  <c r="D17" i="15"/>
  <c r="E17" i="15" s="1"/>
  <c r="F17" i="15" s="1"/>
  <c r="D16" i="15"/>
  <c r="E16" i="15" s="1"/>
  <c r="F16" i="15" s="1"/>
  <c r="D15" i="15"/>
  <c r="E15" i="15" s="1"/>
  <c r="F15" i="15" s="1"/>
  <c r="D14" i="15"/>
  <c r="E14" i="15" s="1"/>
  <c r="F14" i="15" s="1"/>
  <c r="D13" i="15"/>
  <c r="E13" i="15" s="1"/>
  <c r="F13" i="15" s="1"/>
  <c r="D12" i="15"/>
  <c r="E12" i="15" s="1"/>
  <c r="F12" i="15" s="1"/>
  <c r="D11" i="15"/>
  <c r="E11" i="15" s="1"/>
  <c r="F11" i="15" s="1"/>
  <c r="D10" i="15"/>
  <c r="E10" i="15" s="1"/>
  <c r="F10" i="15" s="1"/>
  <c r="B5" i="15"/>
  <c r="B26" i="3" l="1"/>
  <c r="B24" i="3"/>
  <c r="B21" i="3"/>
  <c r="B19" i="3"/>
  <c r="B15" i="3"/>
  <c r="B16" i="3" s="1"/>
  <c r="B6" i="3"/>
  <c r="B5" i="3"/>
  <c r="B9" i="3" s="1"/>
  <c r="B3" i="3"/>
  <c r="B4" i="3" s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L8" i="2" s="1"/>
  <c r="B10" i="3" l="1"/>
  <c r="B13" i="3"/>
  <c r="F4" i="2"/>
  <c r="E4" i="2" a="1"/>
  <c r="E4" i="2" s="1"/>
  <c r="N7" i="2" l="1"/>
  <c r="G4" i="2"/>
  <c r="L10" i="2"/>
  <c r="O5" i="2"/>
  <c r="O4" i="2"/>
  <c r="L9" i="2"/>
  <c r="L15" i="2" l="1"/>
  <c r="O7" i="2"/>
  <c r="L14" i="2"/>
  <c r="L16" i="2" s="1"/>
  <c r="I4" i="2"/>
  <c r="L13" i="2" s="1"/>
  <c r="L11" i="2"/>
  <c r="H4" i="2"/>
  <c r="L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<sst xmlns="http://schemas.openxmlformats.org/spreadsheetml/2006/main" count="443" uniqueCount="278">
  <si>
    <t>MB Phone Characterisation</t>
  </si>
  <si>
    <t>Volume (Steps 1-16)</t>
  </si>
  <si>
    <t>Vpp(440Hz)</t>
  </si>
  <si>
    <t>Vpp(440Hz) - Simplified [V]</t>
  </si>
  <si>
    <t>70% Point (Step)</t>
  </si>
  <si>
    <t>70% Target Vpp [V]</t>
  </si>
  <si>
    <t>Chosen step Vpp [V]</t>
  </si>
  <si>
    <t>Error (Chosen - Target) [V]</t>
  </si>
  <si>
    <t>% Error</t>
  </si>
  <si>
    <t>Source and test conditions</t>
  </si>
  <si>
    <t>X (70% line and chosen point)</t>
  </si>
  <si>
    <t>Y [V] (70% line and chosen point)</t>
  </si>
  <si>
    <t>48.00mV</t>
  </si>
  <si>
    <t>Source device</t>
  </si>
  <si>
    <t>iPhone 14 Pro Max</t>
  </si>
  <si>
    <t>Test tone frequency [Hz]</t>
  </si>
  <si>
    <t>Volume scale</t>
  </si>
  <si>
    <t>Steps 1 to 16</t>
  </si>
  <si>
    <t>Chosen design point</t>
  </si>
  <si>
    <t>70% of max Vpp</t>
  </si>
  <si>
    <t>Max measured Vpp [V]</t>
  </si>
  <si>
    <t>70% target Vpp [V]</t>
  </si>
  <si>
    <t>56.00mV</t>
  </si>
  <si>
    <t>Closest volume step / Chosen design volume setting</t>
  </si>
  <si>
    <t>72.00mV</t>
  </si>
  <si>
    <t>104.0mV</t>
  </si>
  <si>
    <t>152.0mV</t>
  </si>
  <si>
    <t>Percent error</t>
  </si>
  <si>
    <t>208.0mV</t>
  </si>
  <si>
    <t>Chosen step Vrms [V]</t>
  </si>
  <si>
    <t>320.0mV</t>
  </si>
  <si>
    <t>Vin (chosen step) Vpp [V]</t>
  </si>
  <si>
    <t>448.0mV</t>
  </si>
  <si>
    <t>Vin (chosen step) Vrms [V]</t>
  </si>
  <si>
    <t>624.0mV</t>
  </si>
  <si>
    <t>872.0mV</t>
  </si>
  <si>
    <t>1.224V</t>
  </si>
  <si>
    <t>Names / Parameters</t>
  </si>
  <si>
    <t>Values</t>
  </si>
  <si>
    <t>Units</t>
  </si>
  <si>
    <t>Real component name (Proteus Aston name)</t>
  </si>
  <si>
    <t>Phone input values (rows 3–6)</t>
  </si>
  <si>
    <t>Max phone Vpp</t>
  </si>
  <si>
    <t>V</t>
  </si>
  <si>
    <t>0.7 phone Vpp target</t>
  </si>
  <si>
    <t>Chosen design Vin Vpp</t>
  </si>
  <si>
    <t>Chosen design Vin Vrms</t>
  </si>
  <si>
    <t>Gain / resistor results (rows 8–16)</t>
  </si>
  <si>
    <t>Target Vout Vpp (spec)</t>
  </si>
  <si>
    <t>Required gain (V/V)</t>
  </si>
  <si>
    <t>V/V</t>
  </si>
  <si>
    <t>Required gain (dB)</t>
  </si>
  <si>
    <t>dB</t>
  </si>
  <si>
    <t>R1 (given feedback)</t>
  </si>
  <si>
    <t>Ohms</t>
  </si>
  <si>
    <t>MF25_82k</t>
  </si>
  <si>
    <t>R2 calculated (input)</t>
  </si>
  <si>
    <t>R2 rounded (chosen)</t>
  </si>
  <si>
    <t>MF25_24k</t>
  </si>
  <si>
    <t>Actual gain (using rounded R2)</t>
  </si>
  <si>
    <t>Actual gain (dB)</t>
  </si>
  <si>
    <t>Lower cut-off section (rows 18–21)</t>
  </si>
  <si>
    <t>Lower cut-off frequency fl (given)</t>
  </si>
  <si>
    <t>Hz</t>
  </si>
  <si>
    <t>C2 calculated</t>
  </si>
  <si>
    <t>F</t>
  </si>
  <si>
    <t>C2 rounded (chosen)</t>
  </si>
  <si>
    <t>ELEC_1U</t>
  </si>
  <si>
    <t>Actual fl</t>
  </si>
  <si>
    <t>Upper cut-off section (rows 23–26)</t>
  </si>
  <si>
    <t>Upper cut-off frequency fu (chosen)</t>
  </si>
  <si>
    <t>C1 calculated</t>
  </si>
  <si>
    <t>C1 rounded (chosen)</t>
  </si>
  <si>
    <t>CER_68P</t>
  </si>
  <si>
    <t>Actual fu</t>
  </si>
  <si>
    <t>Decoupling caps (rows 28–35)</t>
  </si>
  <si>
    <t>C+ decouple (TL071 +V to 0V)</t>
  </si>
  <si>
    <t>POLY_100N</t>
  </si>
  <si>
    <t>C- decouple (TL071 -V to 0V)</t>
  </si>
  <si>
    <t>OPA551 decouple +V to 0V</t>
  </si>
  <si>
    <t>OPA551 decouple -V to 0V</t>
  </si>
  <si>
    <t>OPA551 bulk +V to 0V</t>
  </si>
  <si>
    <t>ELEC_10U</t>
  </si>
  <si>
    <t>OPA551 bulk -V to 0V</t>
  </si>
  <si>
    <t>Frequency (Hz)</t>
  </si>
  <si>
    <t>Simulated Gain (dB)</t>
  </si>
  <si>
    <t>Low frequency gain (dB) expected</t>
  </si>
  <si>
    <t>Target level (-3 dB)</t>
  </si>
  <si>
    <t>Linear gain (for GBP)</t>
  </si>
  <si>
    <t>Vin (Vp-p)</t>
  </si>
  <si>
    <t>Vout (Vp-p)</t>
  </si>
  <si>
    <t>Gain (Vout / Vin)</t>
  </si>
  <si>
    <t>Gain (dB)</t>
  </si>
  <si>
    <t>Below -3 dB?</t>
  </si>
  <si>
    <t>Notes</t>
  </si>
  <si>
    <t>Screenshot?</t>
  </si>
  <si>
    <t>Cut-off and GBP (auto)</t>
  </si>
  <si>
    <t>Estimated f-3dB (Hz)</t>
  </si>
  <si>
    <t>Gain-bandwidth product (Hz)</t>
  </si>
  <si>
    <t>Note</t>
  </si>
  <si>
    <t>If  gain 100 data clips, GBP may not be reliable. Tell a demonstrator.</t>
  </si>
  <si>
    <t>Student: Isaac Adjei</t>
  </si>
  <si>
    <t>Student Number: 240191278</t>
  </si>
  <si>
    <t>AUDIO AMPLIFIER DESIGN SUMMARY</t>
  </si>
  <si>
    <t>DESIGN INPUT (Mobile Phone Characterisation)</t>
  </si>
  <si>
    <t>Chosen Volume Step</t>
  </si>
  <si>
    <t>-</t>
  </si>
  <si>
    <t>Design Input Vpp</t>
  </si>
  <si>
    <t>Design Input Vrms</t>
  </si>
  <si>
    <t>Maximum Measured Phone Vpp</t>
  </si>
  <si>
    <t>Design Level (70% of Maximum)</t>
  </si>
  <si>
    <t>Selection Error</t>
  </si>
  <si>
    <t>%</t>
  </si>
  <si>
    <t>GAIN DESIGN</t>
  </si>
  <si>
    <t>Target Output Voltage</t>
  </si>
  <si>
    <t>Vpp</t>
  </si>
  <si>
    <t>Required Gain (V/V)</t>
  </si>
  <si>
    <t>Required Gain (dB)</t>
  </si>
  <si>
    <t>Feedback Resistor (R1)</t>
  </si>
  <si>
    <t>82k</t>
  </si>
  <si>
    <t>ohm</t>
  </si>
  <si>
    <t>Calculated Input Resistor (R2)</t>
  </si>
  <si>
    <t>23.83k</t>
  </si>
  <si>
    <t>Chosen Stock Resistor (R2)</t>
  </si>
  <si>
    <t>24k</t>
  </si>
  <si>
    <t>Actual Gain (V/V)</t>
  </si>
  <si>
    <t>Actual Gain (dB)</t>
  </si>
  <si>
    <t>FILTER DESIGN – ACTIVE BANDPASS (TL071)</t>
  </si>
  <si>
    <t>Lower Cut Off Target</t>
  </si>
  <si>
    <t>Calculated C2</t>
  </si>
  <si>
    <t>1.326u</t>
  </si>
  <si>
    <t>Chosen Stock C2</t>
  </si>
  <si>
    <t>1u</t>
  </si>
  <si>
    <t>Actual Lower Cut Off</t>
  </si>
  <si>
    <t>Upper Cut Off Target</t>
  </si>
  <si>
    <t>Calculated C1</t>
  </si>
  <si>
    <t>66.93p</t>
  </si>
  <si>
    <t>Chosen Stock C1</t>
  </si>
  <si>
    <t>68p</t>
  </si>
  <si>
    <t>Actual Upper Cut Off</t>
  </si>
  <si>
    <t>POWER STAGE – OPA551</t>
  </si>
  <si>
    <t>Supply Voltage</t>
  </si>
  <si>
    <t>9–12</t>
  </si>
  <si>
    <t>V DC</t>
  </si>
  <si>
    <t>Load Resistance</t>
  </si>
  <si>
    <t>Target Output</t>
  </si>
  <si>
    <t>Output Configuration</t>
  </si>
  <si>
    <t>Single Supply with Bias</t>
  </si>
  <si>
    <t>Decoupling Capacitors</t>
  </si>
  <si>
    <t>100nF + 10uF per supply</t>
  </si>
  <si>
    <t>SYSTEM OVERVIEW</t>
  </si>
  <si>
    <t>Stereo input summed using TL071</t>
  </si>
  <si>
    <t>Active band-pass filtering implemented in stage 1</t>
  </si>
  <si>
    <t>Voltage gain set by R1 and R2 network</t>
  </si>
  <si>
    <t>OPA551 used as power buffer for current drive</t>
  </si>
  <si>
    <t>Single-supply biasing implemented for battery operation</t>
  </si>
  <si>
    <t>Designed for 8 ohm speaker load</t>
  </si>
  <si>
    <t>Module: EI1EL2 - Electronics 2</t>
  </si>
  <si>
    <t>2025 - 2026</t>
  </si>
  <si>
    <t xml:space="preserve">Dual supply breadboard </t>
  </si>
  <si>
    <t>Simulation (Dual Supply )</t>
  </si>
  <si>
    <t>440 Hz (Dual Supply), 10.67 dB</t>
  </si>
  <si>
    <t>`</t>
  </si>
  <si>
    <t xml:space="preserve">Single supply breadboard </t>
  </si>
  <si>
    <t>Simulation (Single Supply )</t>
  </si>
  <si>
    <t>Measurement (Single Supply )</t>
  </si>
  <si>
    <t>440 Hz (Single Supply), 10.78 dB</t>
  </si>
  <si>
    <t>Stage 1 Simulation (TL071)</t>
  </si>
  <si>
    <t>Stage 2 Simulation (OPA551)</t>
  </si>
  <si>
    <t>Stage 1 pcb</t>
  </si>
  <si>
    <t xml:space="preserve">PCB Final Measurement - stage 2 </t>
  </si>
  <si>
    <t>Stage 1 Measurement (TL071)</t>
  </si>
  <si>
    <t>Stage 2 Measurement (OPA551)</t>
  </si>
  <si>
    <t>fL</t>
  </si>
  <si>
    <t>fH</t>
  </si>
  <si>
    <t>Measurement (Dual Supply )</t>
  </si>
  <si>
    <t>Bill Of Materials for EI1EL2  Audio Amplifier (2025-2026)</t>
  </si>
  <si>
    <t>Design Title</t>
  </si>
  <si>
    <t>EI1EL2  Audio Amplifier (2025-2026)</t>
  </si>
  <si>
    <t>Author</t>
  </si>
  <si>
    <t>240191278</t>
  </si>
  <si>
    <t>Document Number</t>
  </si>
  <si>
    <t>Adjei Isaac</t>
  </si>
  <si>
    <t>Revision</t>
  </si>
  <si>
    <t>1.0</t>
  </si>
  <si>
    <t>Design Created</t>
  </si>
  <si>
    <t>09 February 2026</t>
  </si>
  <si>
    <t>Design Last Modified</t>
  </si>
  <si>
    <t>02 March 2026</t>
  </si>
  <si>
    <t>Total Parts In Design</t>
  </si>
  <si>
    <t>Totals</t>
  </si>
  <si>
    <t>Category</t>
  </si>
  <si>
    <t>Quantity</t>
  </si>
  <si>
    <t>References</t>
  </si>
  <si>
    <t>Value</t>
  </si>
  <si>
    <t>Aston Stock Code</t>
  </si>
  <si>
    <t xml:space="preserve">Description </t>
  </si>
  <si>
    <t>Capacitors</t>
  </si>
  <si>
    <t>C1</t>
  </si>
  <si>
    <t>68 pF</t>
  </si>
  <si>
    <t>Ceramic capacitor - upper cut-off frequency</t>
  </si>
  <si>
    <t>Modules</t>
  </si>
  <si>
    <t>C2,C6</t>
  </si>
  <si>
    <t>1 µF</t>
  </si>
  <si>
    <t>POLY_1U</t>
  </si>
  <si>
    <t>Polyester film capacitor - lower cut-off and input coupling</t>
  </si>
  <si>
    <t>C3,C4,C7</t>
  </si>
  <si>
    <t>100 nF</t>
  </si>
  <si>
    <t>Polyester film capacitor - supply decoupling</t>
  </si>
  <si>
    <t>Resistors</t>
  </si>
  <si>
    <t>C5</t>
  </si>
  <si>
    <t>10 µF</t>
  </si>
  <si>
    <t>Electrolytic capacitor - bias network decoupling</t>
  </si>
  <si>
    <t>Integrated Circuits</t>
  </si>
  <si>
    <t>C8</t>
  </si>
  <si>
    <t>2200 µF</t>
  </si>
  <si>
    <t>ELEC_2200U</t>
  </si>
  <si>
    <t>Electrolytic capacitor - output DC blocking</t>
  </si>
  <si>
    <t>Transistors</t>
  </si>
  <si>
    <t>R1</t>
  </si>
  <si>
    <t>82 kΩ</t>
  </si>
  <si>
    <t>MF25_82K</t>
  </si>
  <si>
    <t>0.25 W metal film - feedback resistor</t>
  </si>
  <si>
    <t>Diodes</t>
  </si>
  <si>
    <t>R2,R3,R4,R5</t>
  </si>
  <si>
    <t>24 kΩ</t>
  </si>
  <si>
    <t>MF25_24K</t>
  </si>
  <si>
    <t>0.25 W metal film - gain, summing and bias network</t>
  </si>
  <si>
    <t>Miscellaneous</t>
  </si>
  <si>
    <t>R6</t>
  </si>
  <si>
    <t>3.3 kΩ</t>
  </si>
  <si>
    <t>MF25_3K3</t>
  </si>
  <si>
    <t>0.25 W metal film - LED current limiting</t>
  </si>
  <si>
    <t>Total</t>
  </si>
  <si>
    <t>R7</t>
  </si>
  <si>
    <t>8.2 Ω</t>
  </si>
  <si>
    <t>MF2W_8R2</t>
  </si>
  <si>
    <t>2 W metal film - speaker load resistor</t>
  </si>
  <si>
    <t>U1</t>
  </si>
  <si>
    <t>TL071CP</t>
  </si>
  <si>
    <t>JFET-input op-amp - active band-pass filter</t>
  </si>
  <si>
    <t>U2</t>
  </si>
  <si>
    <t>OPA551PA</t>
  </si>
  <si>
    <t>High-current op-amp - unity-gain output buffer</t>
  </si>
  <si>
    <t>D1</t>
  </si>
  <si>
    <t>LED-GREEN_A</t>
  </si>
  <si>
    <t>Green LED - power indicator</t>
  </si>
  <si>
    <t>D2,D3</t>
  </si>
  <si>
    <t>1N4007</t>
  </si>
  <si>
    <t>1N4007 N205</t>
  </si>
  <si>
    <t>Rectifier diode - reverse polarity protection</t>
  </si>
  <si>
    <t>J1</t>
  </si>
  <si>
    <t>JACK SOCKET</t>
  </si>
  <si>
    <t>Stereo 3.5 mm PCB jack socket - audio input</t>
  </si>
  <si>
    <t>J2</t>
  </si>
  <si>
    <t>TBLOCK-I2</t>
  </si>
  <si>
    <t>2-way terminal block - speaker output</t>
  </si>
  <si>
    <t>LS1</t>
  </si>
  <si>
    <t>SPEAKER_A</t>
  </si>
  <si>
    <t>8 ohm speaker - audio output load</t>
  </si>
  <si>
    <t>SW1</t>
  </si>
  <si>
    <t>SLIDE-SPST_A</t>
  </si>
  <si>
    <t>SPST slide switch - power switch</t>
  </si>
  <si>
    <t>TP1</t>
  </si>
  <si>
    <t>Bias</t>
  </si>
  <si>
    <t>TEST_PIN</t>
  </si>
  <si>
    <t>Test pin - virtual ground bias point</t>
  </si>
  <si>
    <t>TP2</t>
  </si>
  <si>
    <t>Stage 1</t>
  </si>
  <si>
    <t>Test pin - stage 1 output measurement point</t>
  </si>
  <si>
    <t>TP3</t>
  </si>
  <si>
    <t>Power</t>
  </si>
  <si>
    <t>Test pin - power supply measurement point</t>
  </si>
  <si>
    <t>TP4</t>
  </si>
  <si>
    <t>GND</t>
  </si>
  <si>
    <t>Test pin - circuit ground</t>
  </si>
  <si>
    <t>TP5</t>
  </si>
  <si>
    <t>Test pin - general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</si>
</sst>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color rgb="FF9C0006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6"/>
      <color theme="8" tint="-0.249977111117893"/>
      <name val="Calibri"/>
      <family val="2"/>
    </font>
    <font>
      <sz val="11"/>
      <color theme="8" tint="-0.249977111117893"/>
      <name val="Aptos Narrow"/>
      <family val="2"/>
      <scheme val="minor"/>
    </font>
    <font>
      <sz val="11"/>
      <color rgb="FF0033CC"/>
      <name val="Aptos Narrow"/>
      <family val="2"/>
      <scheme val="minor"/>
    </font>
    <font>
      <b/>
      <sz val="12"/>
      <color indexed="3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10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/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0" applyNumberFormat="1"/>
    <xf numFmtId="11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6" fontId="6" fillId="0" borderId="4" xfId="0" applyNumberFormat="1" applyFont="1" applyBorder="1" applyAlignment="1">
      <alignment vertical="center" wrapText="1"/>
    </xf>
    <xf numFmtId="166" fontId="6" fillId="0" borderId="4" xfId="0" applyNumberFormat="1" applyFont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2" fontId="0" fillId="0" borderId="0" xfId="0" applyNumberFormat="1"/>
    <xf numFmtId="2" fontId="10" fillId="0" borderId="0" xfId="0" applyNumberFormat="1" applyFont="1" applyAlignment="1">
      <alignment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0" fillId="0" borderId="9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quotePrefix="1" applyBorder="1" applyAlignment="1">
      <alignment horizontal="left"/>
    </xf>
    <xf numFmtId="49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49" fontId="0" fillId="0" borderId="13" xfId="0" applyNumberFormat="1" applyBorder="1" applyAlignment="1">
      <alignment horizontal="left"/>
    </xf>
    <xf numFmtId="1" fontId="0" fillId="0" borderId="14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0" fontId="0" fillId="0" borderId="13" xfId="0" applyBorder="1"/>
    <xf numFmtId="0" fontId="0" fillId="0" borderId="14" xfId="0" quotePrefix="1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49" fontId="0" fillId="0" borderId="18" xfId="0" applyNumberFormat="1" applyBorder="1" applyAlignment="1">
      <alignment horizontal="left"/>
    </xf>
    <xf numFmtId="49" fontId="0" fillId="0" borderId="19" xfId="0" applyNumberFormat="1" applyBorder="1" applyAlignment="1">
      <alignment horizontal="left"/>
    </xf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Mobile phone output Vpp vs volume step (440 Hz)</a:t>
            </a:r>
            <a:endParaRPr lang="en-GB"/>
          </a:p>
        </c:rich>
      </c:tx>
      <c:layout>
        <c:manualLayout>
          <c:xMode val="edge"/>
          <c:yMode val="edge"/>
          <c:x val="0.1441410647868365"/>
          <c:y val="4.7788163997211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078376373621534"/>
          <c:y val="0.17171296296296296"/>
          <c:w val="0.64087837778314183"/>
          <c:h val="0.61487426273843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'Mobile Phone Characterisation'!$C$3</c:f>
              <c:strCache>
                <c:ptCount val="1"/>
                <c:pt idx="0">
                  <c:v>Vpp(440Hz) - Simplified [V]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'Mobile Phone Characterisation'!$A$4:$A$19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'Mobile Phone Characterisation'!$C$4:$C$19</c:f>
              <c:numCache>
                <c:formatCode>0.0000</c:formatCode>
                <c:ptCount val="16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5.6000000000000001E-2</c:v>
                </c:pt>
                <c:pt idx="7">
                  <c:v>7.1999999999999995E-2</c:v>
                </c:pt>
                <c:pt idx="8">
                  <c:v>0.104</c:v>
                </c:pt>
                <c:pt idx="9">
                  <c:v>0.152</c:v>
                </c:pt>
                <c:pt idx="10">
                  <c:v>0.20799999999999999</c:v>
                </c:pt>
                <c:pt idx="11">
                  <c:v>0.32</c:v>
                </c:pt>
                <c:pt idx="12">
                  <c:v>0.44800000000000001</c:v>
                </c:pt>
                <c:pt idx="13">
                  <c:v>0.624</c:v>
                </c:pt>
                <c:pt idx="14">
                  <c:v>0.872</c:v>
                </c:pt>
                <c:pt idx="15">
                  <c:v>1.224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D-4968-8FE2-01DB94608B5C}"/>
            </c:ext>
          </c:extLst>
        </c:ser>
        <c:ser>
          <c:idx val="1"/>
          <c:order val="1"/>
          <c:tx>
            <c:v>Chosen step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9516424208407533E-2"/>
                  <c:y val="-6.76391536467112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470742-B0D3-4506-B7A0-C4DEE396AA55}" type="XVALUE">
                      <a:rPr lang="en-US"/>
                      <a:pPr>
                        <a:defRPr/>
                      </a:pPr>
                      <a:t>[X VALUE]</a:t>
                    </a:fld>
                    <a:r>
                      <a:rPr lang="en-US" sz="1200" b="1" baseline="0">
                        <a:solidFill>
                          <a:srgbClr val="FF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,</a:t>
                    </a:r>
                    <a:r>
                      <a:rPr lang="en-US" baseline="0"/>
                      <a:t> </a:t>
                    </a:r>
                    <a:fld id="{0340E149-C108-4707-8FE9-0EF1DBE010CD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BFE-4F63-BF27-C181F7950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'Mobile Phone Characterisation'!$N$7</c:f>
              <c:numCache>
                <c:formatCode>0</c:formatCode>
                <c:ptCount val="1"/>
                <c:pt idx="0">
                  <c:v>15</c:v>
                </c:pt>
              </c:numCache>
            </c:numRef>
          </c:xVal>
          <c:yVal>
            <c:numRef>
              <c:f>'Mobile Phone Characterisation'!$O$7</c:f>
              <c:numCache>
                <c:formatCode>0.000</c:formatCode>
                <c:ptCount val="1"/>
                <c:pt idx="0">
                  <c:v>0.872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D-4968-8FE2-01DB94608B5C}"/>
            </c:ext>
          </c:extLst>
        </c:ser>
        <c:ser>
          <c:idx val="2"/>
          <c:order val="2"/>
          <c:tx>
            <c:v>70% Target</c:v>
          </c:tx>
          <c:spPr>
            <a:ln w="19050" cap="sq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'Mobile Phone Characterisation'!$N$4:$N$5</c:f>
              <c:numCache>
                <c:formatCode>General</c:formatCode>
                <c:ptCount val="2"/>
                <c:pt idx="0">
                  <c:v>1</c:v>
                </c:pt>
                <c:pt idx="1">
                  <c:v>16</c:v>
                </c:pt>
              </c:numCache>
            </c:numRef>
          </c:xVal>
          <c:yVal>
            <c:numRef>
              <c:f>'Mobile Phone Characterisation'!$O$4:$O$5</c:f>
              <c:numCache>
                <c:formatCode>0.0000</c:formatCode>
                <c:ptCount val="2"/>
                <c:pt idx="0">
                  <c:v>0.8567999999999999</c:v>
                </c:pt>
                <c:pt idx="1">
                  <c:v>0.8567999999999999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8D-4968-8FE2-01DB94608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620512"/>
        <c:axId val="1585683535"/>
      </c:scatterChart>
      <c:valAx>
        <c:axId val="1326620512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Volume step (1 to 16)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83535"/>
        <c:crosses val="autoZero"/>
        <c:crossBetween val="midCat"/>
        <c:majorUnit val="1"/>
        <c:minorUnit val="1"/>
      </c:valAx>
      <c:valAx>
        <c:axId val="1585683535"/>
        <c:scaling>
          <c:orientation val="minMax"/>
          <c:max val="1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Vpp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620512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1100102931261"/>
          <c:y val="0.20496124660582174"/>
          <c:w val="0.1902787150108621"/>
          <c:h val="0.6192140565762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'Proteus - AFS (Dual Supply)'!$B$1</c:f>
              <c:strCache>
                <c:ptCount val="1"/>
                <c:pt idx="0">
                  <c:v>Simulated Gain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'Proteus - AFS (Dual Supply)'!$A$2:$A$52</c:f>
              <c:numCache>
                <c:formatCode>General</c:formatCode>
                <c:ptCount val="5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</c:numCache>
            </c:numRef>
          </c:xVal>
          <c:yVal>
            <c:numRef>
              <c:f>'Proteus - AFS (Dual Supply)'!$B$2:$B$52</c:f>
              <c:numCache>
                <c:formatCode>General</c:formatCode>
                <c:ptCount val="51"/>
                <c:pt idx="0">
                  <c:v>-5.8578200000000002</c:v>
                </c:pt>
                <c:pt idx="1">
                  <c:v>-3.9139300000000001</c:v>
                </c:pt>
                <c:pt idx="2">
                  <c:v>-2.0014099999999999</c:v>
                </c:pt>
                <c:pt idx="3">
                  <c:v>-0.13653799999999999</c:v>
                </c:pt>
                <c:pt idx="4">
                  <c:v>1.6575500000000001</c:v>
                </c:pt>
                <c:pt idx="5">
                  <c:v>3.34998</c:v>
                </c:pt>
                <c:pt idx="6">
                  <c:v>4.9031599999999997</c:v>
                </c:pt>
                <c:pt idx="7">
                  <c:v>6.27752</c:v>
                </c:pt>
                <c:pt idx="8">
                  <c:v>7.4402200000000001</c:v>
                </c:pt>
                <c:pt idx="9">
                  <c:v>8.3752099999999992</c:v>
                </c:pt>
                <c:pt idx="10">
                  <c:v>9.0890599999999999</c:v>
                </c:pt>
                <c:pt idx="11">
                  <c:v>9.6084399999999999</c:v>
                </c:pt>
                <c:pt idx="12">
                  <c:v>9.9712999999999994</c:v>
                </c:pt>
                <c:pt idx="13">
                  <c:v>10.216900000000001</c:v>
                </c:pt>
                <c:pt idx="14">
                  <c:v>10.379300000000001</c:v>
                </c:pt>
                <c:pt idx="15">
                  <c:v>10.484999999999999</c:v>
                </c:pt>
                <c:pt idx="16">
                  <c:v>10.553100000000001</c:v>
                </c:pt>
                <c:pt idx="17">
                  <c:v>10.5966</c:v>
                </c:pt>
                <c:pt idx="18">
                  <c:v>10.6242</c:v>
                </c:pt>
                <c:pt idx="19">
                  <c:v>10.6417</c:v>
                </c:pt>
                <c:pt idx="20">
                  <c:v>10.652799999999999</c:v>
                </c:pt>
                <c:pt idx="21">
                  <c:v>10.659800000000001</c:v>
                </c:pt>
                <c:pt idx="22">
                  <c:v>10.664199999999999</c:v>
                </c:pt>
                <c:pt idx="23">
                  <c:v>10.6669</c:v>
                </c:pt>
                <c:pt idx="24">
                  <c:v>10.6686</c:v>
                </c:pt>
                <c:pt idx="25">
                  <c:v>10.669499999999999</c:v>
                </c:pt>
                <c:pt idx="26">
                  <c:v>10.6698</c:v>
                </c:pt>
                <c:pt idx="27">
                  <c:v>10.6698</c:v>
                </c:pt>
                <c:pt idx="28">
                  <c:v>10.6692</c:v>
                </c:pt>
                <c:pt idx="29">
                  <c:v>10.668100000000001</c:v>
                </c:pt>
                <c:pt idx="30">
                  <c:v>10.6661</c:v>
                </c:pt>
                <c:pt idx="31">
                  <c:v>10.6629</c:v>
                </c:pt>
                <c:pt idx="32">
                  <c:v>10.6577</c:v>
                </c:pt>
                <c:pt idx="33">
                  <c:v>10.6495</c:v>
                </c:pt>
                <c:pt idx="34">
                  <c:v>10.6365</c:v>
                </c:pt>
                <c:pt idx="35">
                  <c:v>10.6159</c:v>
                </c:pt>
                <c:pt idx="36">
                  <c:v>10.583500000000001</c:v>
                </c:pt>
                <c:pt idx="37">
                  <c:v>10.5326</c:v>
                </c:pt>
                <c:pt idx="38">
                  <c:v>10.453099999999999</c:v>
                </c:pt>
                <c:pt idx="39">
                  <c:v>10.3301</c:v>
                </c:pt>
                <c:pt idx="40">
                  <c:v>10.1419</c:v>
                </c:pt>
                <c:pt idx="41">
                  <c:v>9.8594399999999993</c:v>
                </c:pt>
                <c:pt idx="42">
                  <c:v>9.4463200000000001</c:v>
                </c:pt>
                <c:pt idx="43">
                  <c:v>8.8627599999999997</c:v>
                </c:pt>
                <c:pt idx="44">
                  <c:v>8.0736000000000008</c:v>
                </c:pt>
                <c:pt idx="45">
                  <c:v>7.0584100000000003</c:v>
                </c:pt>
                <c:pt idx="46">
                  <c:v>5.8187499999999996</c:v>
                </c:pt>
                <c:pt idx="47">
                  <c:v>4.3775700000000004</c:v>
                </c:pt>
                <c:pt idx="48">
                  <c:v>2.7713100000000002</c:v>
                </c:pt>
                <c:pt idx="49">
                  <c:v>1.03969</c:v>
                </c:pt>
                <c:pt idx="50">
                  <c:v>-0.78164500000000003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25-4BC4-B4EA-5303854DC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669520"/>
        <c:axId val="1808882624"/>
      </c:scatterChart>
      <c:valAx>
        <c:axId val="17256695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82624"/>
        <c:crosses val="autoZero"/>
        <c:crossBetween val="midCat"/>
      </c:valAx>
      <c:valAx>
        <c:axId val="180888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Gcain(dB)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695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Gain (dB) vs Frequency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8586089859334967E-2"/>
          <c:y val="0.12455263476680802"/>
          <c:w val="0.78718440336801876"/>
          <c:h val="0.75863185947910361"/>
        </c:manualLayout>
      </c:layout>
      <c:scatterChart>
        <c:scatterStyle val="lineMarker"/>
        <c:varyColors val="1"/>
        <c:ser>
          <c:idx val="0"/>
          <c:order val="0"/>
          <c:tx>
            <c:v>10x (measured)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'Breadboard - AFS (Dual-Supply)'!$A$10:$A$30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'Breadboard - AFS (Dual-Supply)'!$E$10:$E$30</c:f>
              <c:numCache>
                <c:formatCode>General</c:formatCode>
                <c:ptCount val="21"/>
                <c:pt idx="0">
                  <c:v>-5.7193249845621077</c:v>
                </c:pt>
                <c:pt idx="1">
                  <c:v>2.92256071356476</c:v>
                </c:pt>
                <c:pt idx="2">
                  <c:v>6.1221904238651215</c:v>
                </c:pt>
                <c:pt idx="3">
                  <c:v>8.8698615451162759</c:v>
                </c:pt>
                <c:pt idx="4">
                  <c:v>10.229803127018499</c:v>
                </c:pt>
                <c:pt idx="5">
                  <c:v>10.457574905606752</c:v>
                </c:pt>
                <c:pt idx="6">
                  <c:v>10.580781079703119</c:v>
                </c:pt>
                <c:pt idx="7">
                  <c:v>10.580781079703119</c:v>
                </c:pt>
                <c:pt idx="8">
                  <c:v>10.580781079703119</c:v>
                </c:pt>
                <c:pt idx="9">
                  <c:v>10.519396445149587</c:v>
                </c:pt>
                <c:pt idx="10">
                  <c:v>10.519396445149587</c:v>
                </c:pt>
                <c:pt idx="11">
                  <c:v>10.395310197123893</c:v>
                </c:pt>
                <c:pt idx="12">
                  <c:v>9.984463978873432</c:v>
                </c:pt>
                <c:pt idx="13">
                  <c:v>8.5965830617103851</c:v>
                </c:pt>
                <c:pt idx="14">
                  <c:v>7.0379378400627326</c:v>
                </c:pt>
                <c:pt idx="15">
                  <c:v>4.146032828842281</c:v>
                </c:pt>
                <c:pt idx="16">
                  <c:v>-0.90950779111381597</c:v>
                </c:pt>
                <c:pt idx="17">
                  <c:v>-6.4342918904766435</c:v>
                </c:pt>
                <c:pt idx="18">
                  <c:v>-9.7971615224518995</c:v>
                </c:pt>
                <c:pt idx="19">
                  <c:v>-13.634872047230163</c:v>
                </c:pt>
                <c:pt idx="20">
                  <c:v>-17.962531349207868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7-404B-9EEB-4576F73F8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 (Hz)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chemeClr val="bg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Gain (dB)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10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88732860520094559"/>
          <c:y val="8.7282858873410103E-3"/>
          <c:w val="0.10321513002364066"/>
          <c:h val="0.9912717141126590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'Combined Dual Supply (BB+Sim)'!$B$1</c:f>
              <c:strCache>
                <c:ptCount val="1"/>
                <c:pt idx="0">
                  <c:v>Simulation (Dual Supply 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'Combined Dual Supply (BB+Sim)'!$A$2:$A$52</c:f>
              <c:numCache>
                <c:formatCode>General</c:formatCode>
                <c:ptCount val="5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</c:numCache>
            </c:numRef>
          </c:xVal>
          <c:yVal>
            <c:numRef>
              <c:f>'Combined Dual Supply (BB+Sim)'!$B$2:$B$52</c:f>
              <c:numCache>
                <c:formatCode>General</c:formatCode>
                <c:ptCount val="51"/>
                <c:pt idx="0">
                  <c:v>-5.8578200000000002</c:v>
                </c:pt>
                <c:pt idx="1">
                  <c:v>-3.9139300000000001</c:v>
                </c:pt>
                <c:pt idx="2">
                  <c:v>-2.0014099999999999</c:v>
                </c:pt>
                <c:pt idx="3">
                  <c:v>-0.13653799999999999</c:v>
                </c:pt>
                <c:pt idx="4">
                  <c:v>1.6575500000000001</c:v>
                </c:pt>
                <c:pt idx="5">
                  <c:v>3.34998</c:v>
                </c:pt>
                <c:pt idx="6">
                  <c:v>4.9031599999999997</c:v>
                </c:pt>
                <c:pt idx="7">
                  <c:v>6.27752</c:v>
                </c:pt>
                <c:pt idx="8">
                  <c:v>7.4402200000000001</c:v>
                </c:pt>
                <c:pt idx="9">
                  <c:v>8.3752099999999992</c:v>
                </c:pt>
                <c:pt idx="10">
                  <c:v>9.0890599999999999</c:v>
                </c:pt>
                <c:pt idx="11">
                  <c:v>9.6084399999999999</c:v>
                </c:pt>
                <c:pt idx="12">
                  <c:v>9.9712999999999994</c:v>
                </c:pt>
                <c:pt idx="13">
                  <c:v>10.216900000000001</c:v>
                </c:pt>
                <c:pt idx="14">
                  <c:v>10.379300000000001</c:v>
                </c:pt>
                <c:pt idx="15">
                  <c:v>10.484999999999999</c:v>
                </c:pt>
                <c:pt idx="16">
                  <c:v>10.553100000000001</c:v>
                </c:pt>
                <c:pt idx="17">
                  <c:v>10.5966</c:v>
                </c:pt>
                <c:pt idx="18">
                  <c:v>10.6242</c:v>
                </c:pt>
                <c:pt idx="19">
                  <c:v>10.6417</c:v>
                </c:pt>
                <c:pt idx="20">
                  <c:v>10.652799999999999</c:v>
                </c:pt>
                <c:pt idx="21">
                  <c:v>10.659800000000001</c:v>
                </c:pt>
                <c:pt idx="22">
                  <c:v>10.664199999999999</c:v>
                </c:pt>
                <c:pt idx="23">
                  <c:v>10.6669</c:v>
                </c:pt>
                <c:pt idx="24">
                  <c:v>10.6686</c:v>
                </c:pt>
                <c:pt idx="25">
                  <c:v>10.669499999999999</c:v>
                </c:pt>
                <c:pt idx="26">
                  <c:v>10.6698</c:v>
                </c:pt>
                <c:pt idx="27">
                  <c:v>10.6698</c:v>
                </c:pt>
                <c:pt idx="28">
                  <c:v>10.6692</c:v>
                </c:pt>
                <c:pt idx="29">
                  <c:v>10.668100000000001</c:v>
                </c:pt>
                <c:pt idx="30">
                  <c:v>10.6661</c:v>
                </c:pt>
                <c:pt idx="31">
                  <c:v>10.6629</c:v>
                </c:pt>
                <c:pt idx="32">
                  <c:v>10.6577</c:v>
                </c:pt>
                <c:pt idx="33">
                  <c:v>10.6495</c:v>
                </c:pt>
                <c:pt idx="34">
                  <c:v>10.6365</c:v>
                </c:pt>
                <c:pt idx="35">
                  <c:v>10.6159</c:v>
                </c:pt>
                <c:pt idx="36">
                  <c:v>10.583500000000001</c:v>
                </c:pt>
                <c:pt idx="37">
                  <c:v>10.5326</c:v>
                </c:pt>
                <c:pt idx="38">
                  <c:v>10.453099999999999</c:v>
                </c:pt>
                <c:pt idx="39">
                  <c:v>10.3301</c:v>
                </c:pt>
                <c:pt idx="40">
                  <c:v>10.1419</c:v>
                </c:pt>
                <c:pt idx="41">
                  <c:v>9.8594399999999993</c:v>
                </c:pt>
                <c:pt idx="42">
                  <c:v>9.4463200000000001</c:v>
                </c:pt>
                <c:pt idx="43">
                  <c:v>8.8627599999999997</c:v>
                </c:pt>
                <c:pt idx="44">
                  <c:v>8.0736000000000008</c:v>
                </c:pt>
                <c:pt idx="45">
                  <c:v>7.0584100000000003</c:v>
                </c:pt>
                <c:pt idx="46">
                  <c:v>5.8187499999999996</c:v>
                </c:pt>
                <c:pt idx="47">
                  <c:v>4.3775700000000004</c:v>
                </c:pt>
                <c:pt idx="48">
                  <c:v>2.7713100000000002</c:v>
                </c:pt>
                <c:pt idx="49">
                  <c:v>1.03969</c:v>
                </c:pt>
                <c:pt idx="50">
                  <c:v>-0.78164500000000003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B-401C-9036-D35086BD9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669520"/>
        <c:axId val="1808882624"/>
      </c:scatterChart>
      <c:valAx>
        <c:axId val="17256695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82624"/>
        <c:crosses val="autoZero"/>
        <c:crossBetween val="midCat"/>
      </c:valAx>
      <c:valAx>
        <c:axId val="180888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Gcain(dB)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695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559720693474635E-2"/>
          <c:y val="7.8506162908485361E-2"/>
          <c:w val="0.87825608769474894"/>
          <c:h val="0.73497894363117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'Combined Dual Supply (BB+Sim)'!$B$1</c:f>
              <c:strCache>
                <c:ptCount val="1"/>
                <c:pt idx="0">
                  <c:v>Simulation (Dual Supply 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'Combined Dual Supply (BB+Sim)'!$A$2:$A$52</c:f>
              <c:numCache>
                <c:formatCode>General</c:formatCode>
                <c:ptCount val="5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</c:numCache>
            </c:numRef>
          </c:xVal>
          <c:yVal>
            <c:numRef>
              <c:f>'Combined Dual Supply (BB+Sim)'!$B$2:$B$52</c:f>
              <c:numCache>
                <c:formatCode>General</c:formatCode>
                <c:ptCount val="51"/>
                <c:pt idx="0">
                  <c:v>-5.8578200000000002</c:v>
                </c:pt>
                <c:pt idx="1">
                  <c:v>-3.9139300000000001</c:v>
                </c:pt>
                <c:pt idx="2">
                  <c:v>-2.0014099999999999</c:v>
                </c:pt>
                <c:pt idx="3">
                  <c:v>-0.13653799999999999</c:v>
                </c:pt>
                <c:pt idx="4">
                  <c:v>1.6575500000000001</c:v>
                </c:pt>
                <c:pt idx="5">
                  <c:v>3.34998</c:v>
                </c:pt>
                <c:pt idx="6">
                  <c:v>4.9031599999999997</c:v>
                </c:pt>
                <c:pt idx="7">
                  <c:v>6.27752</c:v>
                </c:pt>
                <c:pt idx="8">
                  <c:v>7.4402200000000001</c:v>
                </c:pt>
                <c:pt idx="9">
                  <c:v>8.3752099999999992</c:v>
                </c:pt>
                <c:pt idx="10">
                  <c:v>9.0890599999999999</c:v>
                </c:pt>
                <c:pt idx="11">
                  <c:v>9.6084399999999999</c:v>
                </c:pt>
                <c:pt idx="12">
                  <c:v>9.9712999999999994</c:v>
                </c:pt>
                <c:pt idx="13">
                  <c:v>10.216900000000001</c:v>
                </c:pt>
                <c:pt idx="14">
                  <c:v>10.379300000000001</c:v>
                </c:pt>
                <c:pt idx="15">
                  <c:v>10.484999999999999</c:v>
                </c:pt>
                <c:pt idx="16">
                  <c:v>10.553100000000001</c:v>
                </c:pt>
                <c:pt idx="17">
                  <c:v>10.5966</c:v>
                </c:pt>
                <c:pt idx="18">
                  <c:v>10.6242</c:v>
                </c:pt>
                <c:pt idx="19">
                  <c:v>10.6417</c:v>
                </c:pt>
                <c:pt idx="20">
                  <c:v>10.652799999999999</c:v>
                </c:pt>
                <c:pt idx="21">
                  <c:v>10.659800000000001</c:v>
                </c:pt>
                <c:pt idx="22">
                  <c:v>10.664199999999999</c:v>
                </c:pt>
                <c:pt idx="23">
                  <c:v>10.6669</c:v>
                </c:pt>
                <c:pt idx="24">
                  <c:v>10.6686</c:v>
                </c:pt>
                <c:pt idx="25">
                  <c:v>10.669499999999999</c:v>
                </c:pt>
                <c:pt idx="26">
                  <c:v>10.6698</c:v>
                </c:pt>
                <c:pt idx="27">
                  <c:v>10.6698</c:v>
                </c:pt>
                <c:pt idx="28">
                  <c:v>10.6692</c:v>
                </c:pt>
                <c:pt idx="29">
                  <c:v>10.668100000000001</c:v>
                </c:pt>
                <c:pt idx="30">
                  <c:v>10.6661</c:v>
                </c:pt>
                <c:pt idx="31">
                  <c:v>10.6629</c:v>
                </c:pt>
                <c:pt idx="32">
                  <c:v>10.6577</c:v>
                </c:pt>
                <c:pt idx="33">
                  <c:v>10.6495</c:v>
                </c:pt>
                <c:pt idx="34">
                  <c:v>10.6365</c:v>
                </c:pt>
                <c:pt idx="35">
                  <c:v>10.6159</c:v>
                </c:pt>
                <c:pt idx="36">
                  <c:v>10.583500000000001</c:v>
                </c:pt>
                <c:pt idx="37">
                  <c:v>10.5326</c:v>
                </c:pt>
                <c:pt idx="38">
                  <c:v>10.453099999999999</c:v>
                </c:pt>
                <c:pt idx="39">
                  <c:v>10.3301</c:v>
                </c:pt>
                <c:pt idx="40">
                  <c:v>10.1419</c:v>
                </c:pt>
                <c:pt idx="41">
                  <c:v>9.8594399999999993</c:v>
                </c:pt>
                <c:pt idx="42">
                  <c:v>9.4463200000000001</c:v>
                </c:pt>
                <c:pt idx="43">
                  <c:v>8.8627599999999997</c:v>
                </c:pt>
                <c:pt idx="44">
                  <c:v>8.0736000000000008</c:v>
                </c:pt>
                <c:pt idx="45">
                  <c:v>7.0584100000000003</c:v>
                </c:pt>
                <c:pt idx="46">
                  <c:v>5.8187499999999996</c:v>
                </c:pt>
                <c:pt idx="47">
                  <c:v>4.3775700000000004</c:v>
                </c:pt>
                <c:pt idx="48">
                  <c:v>2.7713100000000002</c:v>
                </c:pt>
                <c:pt idx="49">
                  <c:v>1.03969</c:v>
                </c:pt>
                <c:pt idx="50">
                  <c:v>-0.78164500000000003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D-4EF0-9B9F-B32C38CF9816}"/>
            </c:ext>
          </c:extLst>
        </c:ser>
        <c:ser>
          <c:idx val="1"/>
          <c:order val="1"/>
          <c:tx>
            <c:strRef>
              <c:f>'Combined Dual Supply (BB+Sim)'!$Q$1</c:f>
              <c:strCache>
                <c:ptCount val="1"/>
                <c:pt idx="0">
                  <c:v>Measurement (Dual Supply 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8"/>
            <c:marker>
              <c:symbol val="diamond"/>
              <c:size val="11"/>
              <c:spPr>
                <a:solidFill>
                  <a:srgbClr val="FF00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A2D-4EF0-9B9F-B32C38CF9816}"/>
              </c:ext>
            </c:extLst>
          </c:dPt>
          <c:dLbls>
            <c:dLbl>
              <c:idx val="8"/>
              <c:layout>
                <c:manualLayout>
                  <c:x val="-0.146661885615681"/>
                  <c:y val="-9.46441081744072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t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92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48F1E3-3952-4BAD-B40F-411CD889C3B8}" type="CELLREF">
                      <a:rPr lang="en-US">
                        <a:solidFill>
                          <a:srgbClr val="920000"/>
                        </a:solidFill>
                      </a:rPr>
                      <a:pPr>
                        <a:defRPr>
                          <a:solidFill>
                            <a:srgbClr val="920000"/>
                          </a:solidFill>
                        </a:defRPr>
                      </a:pPr>
                      <a:t>[CELLREF]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92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00792977710518"/>
                      <c:h val="7.0877086453705648E-2"/>
                    </c:manualLayout>
                  </c15:layout>
                  <c15:dlblFieldTable>
                    <c15:dlblFTEntry>
                      <c15:txfldGUID>{9E48F1E3-3952-4BAD-B40F-411CD889C3B8}</c15:txfldGUID>
                      <c15:f>'Combined Dual Supply (BB+Sim)'!$W$28</c15:f>
                      <c15:dlblFieldTableCache>
                        <c:ptCount val="1"/>
                        <c:pt idx="0">
                          <c:v>440 Hz (Dual Supply), 10.67 dB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A2D-4EF0-9B9F-B32C38CF9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'Combined Dual Supply (BB+Sim)'!$M$2:$M$23</c:f>
              <c:numCache>
                <c:formatCode>0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440</c:v>
                </c:pt>
                <c:pt idx="9">
                  <c:v>500</c:v>
                </c:pt>
                <c:pt idx="10">
                  <c:v>1000</c:v>
                </c:pt>
                <c:pt idx="11">
                  <c:v>3000</c:v>
                </c:pt>
                <c:pt idx="12">
                  <c:v>5000</c:v>
                </c:pt>
                <c:pt idx="13">
                  <c:v>10000</c:v>
                </c:pt>
                <c:pt idx="14">
                  <c:v>20000</c:v>
                </c:pt>
                <c:pt idx="15">
                  <c:v>30000</c:v>
                </c:pt>
                <c:pt idx="16">
                  <c:v>50000</c:v>
                </c:pt>
                <c:pt idx="17">
                  <c:v>100000</c:v>
                </c:pt>
                <c:pt idx="18">
                  <c:v>200000</c:v>
                </c:pt>
                <c:pt idx="19">
                  <c:v>300000</c:v>
                </c:pt>
                <c:pt idx="20">
                  <c:v>500000</c:v>
                </c:pt>
                <c:pt idx="21">
                  <c:v>1000000</c:v>
                </c:pt>
              </c:numCache>
            </c:numRef>
          </c:xVal>
          <c:yVal>
            <c:numRef>
              <c:f>'Combined Dual Supply (BB+Sim)'!$Q$2:$Q$23</c:f>
              <c:numCache>
                <c:formatCode>General</c:formatCode>
                <c:ptCount val="22"/>
                <c:pt idx="0">
                  <c:v>-5.7193249845621077</c:v>
                </c:pt>
                <c:pt idx="1">
                  <c:v>2.92256071356476</c:v>
                </c:pt>
                <c:pt idx="2">
                  <c:v>6.1221904238651215</c:v>
                </c:pt>
                <c:pt idx="3">
                  <c:v>8.8698615451162759</c:v>
                </c:pt>
                <c:pt idx="4">
                  <c:v>10.229803127018499</c:v>
                </c:pt>
                <c:pt idx="5">
                  <c:v>10.457574905606752</c:v>
                </c:pt>
                <c:pt idx="6">
                  <c:v>10.580781079703119</c:v>
                </c:pt>
                <c:pt idx="7">
                  <c:v>10.580781079703119</c:v>
                </c:pt>
                <c:pt idx="8">
                  <c:v>10.673995582873758</c:v>
                </c:pt>
                <c:pt idx="9">
                  <c:v>10.580781079703119</c:v>
                </c:pt>
                <c:pt idx="10">
                  <c:v>10.519396445149587</c:v>
                </c:pt>
                <c:pt idx="11">
                  <c:v>10.519396445149587</c:v>
                </c:pt>
                <c:pt idx="12">
                  <c:v>10.395310197123893</c:v>
                </c:pt>
                <c:pt idx="13">
                  <c:v>9.984463978873432</c:v>
                </c:pt>
                <c:pt idx="14">
                  <c:v>8.5965830617103851</c:v>
                </c:pt>
                <c:pt idx="15">
                  <c:v>7.0379378400627326</c:v>
                </c:pt>
                <c:pt idx="16">
                  <c:v>4.146032828842281</c:v>
                </c:pt>
                <c:pt idx="17">
                  <c:v>-0.90950779111381597</c:v>
                </c:pt>
                <c:pt idx="18">
                  <c:v>-6.4342918904766435</c:v>
                </c:pt>
                <c:pt idx="19">
                  <c:v>-9.7971615224518995</c:v>
                </c:pt>
                <c:pt idx="20">
                  <c:v>-13.634872047230163</c:v>
                </c:pt>
                <c:pt idx="21">
                  <c:v>-17.962531349207868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2D-4EF0-9B9F-B32C38CF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669520"/>
        <c:axId val="1808882624"/>
      </c:scatterChart>
      <c:valAx>
        <c:axId val="1725669520"/>
        <c:scaling>
          <c:logBase val="10"/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4023894180188128"/>
              <c:y val="0.8685017739812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82624"/>
        <c:crosses val="autoZero"/>
        <c:crossBetween val="midCat"/>
      </c:valAx>
      <c:valAx>
        <c:axId val="180888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>
                    <a:solidFill>
                      <a:schemeClr val="tx1"/>
                    </a:solidFill>
                  </a:rPr>
                  <a:t>Gain (dB)</a:t>
                </a:r>
              </a:p>
            </c:rich>
          </c:tx>
          <c:layout>
            <c:manualLayout>
              <c:xMode val="edge"/>
              <c:yMode val="edge"/>
              <c:x val="1.5583371806060644E-2"/>
              <c:y val="0.34656587274476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695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00950418576815"/>
          <c:y val="0.91509347501173843"/>
          <c:w val="0.53978111232218295"/>
          <c:h val="6.7839967834243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'Proteus - AFS (Single-Supply)'!$B$1</c:f>
              <c:strCache>
                <c:ptCount val="1"/>
                <c:pt idx="0">
                  <c:v>Simulated Gain (dB)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7"/>
            <c:marker>
              <c:symbol val="diamond"/>
              <c:size val="3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E5C-4262-87CE-D4A21D160B7B}"/>
              </c:ext>
            </c:extLst>
          </c:dPt>
          <c:xVal>
            <c:numRef>
              <c:f>'Proteus - AFS (Single-Supply)'!$A$2:$A$502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'Proteus - AFS (Single-Supply)'!$B$2:$B$502</c:f>
              <c:numCache>
                <c:formatCode>General</c:formatCode>
                <c:ptCount val="501"/>
                <c:pt idx="0">
                  <c:v>-5.8578200000000002</c:v>
                </c:pt>
                <c:pt idx="1">
                  <c:v>-5.6623700000000001</c:v>
                </c:pt>
                <c:pt idx="2">
                  <c:v>-5.4671200000000004</c:v>
                </c:pt>
                <c:pt idx="3">
                  <c:v>-5.2721</c:v>
                </c:pt>
                <c:pt idx="4">
                  <c:v>-5.0773000000000001</c:v>
                </c:pt>
                <c:pt idx="5">
                  <c:v>-4.8827499999999997</c:v>
                </c:pt>
                <c:pt idx="6">
                  <c:v>-4.6884399999999999</c:v>
                </c:pt>
                <c:pt idx="7">
                  <c:v>-4.4943900000000001</c:v>
                </c:pt>
                <c:pt idx="8">
                  <c:v>-4.3006200000000003</c:v>
                </c:pt>
                <c:pt idx="9">
                  <c:v>-4.1071299999999997</c:v>
                </c:pt>
                <c:pt idx="10">
                  <c:v>-3.9139300000000001</c:v>
                </c:pt>
                <c:pt idx="11">
                  <c:v>-3.72105</c:v>
                </c:pt>
                <c:pt idx="12">
                  <c:v>-3.5284800000000001</c:v>
                </c:pt>
                <c:pt idx="13">
                  <c:v>-3.3362599999999998</c:v>
                </c:pt>
                <c:pt idx="14">
                  <c:v>-3.14438</c:v>
                </c:pt>
                <c:pt idx="15">
                  <c:v>-2.9528699999999999</c:v>
                </c:pt>
                <c:pt idx="16">
                  <c:v>-2.7617500000000001</c:v>
                </c:pt>
                <c:pt idx="17">
                  <c:v>-2.5710199999999999</c:v>
                </c:pt>
                <c:pt idx="18">
                  <c:v>-2.3807100000000001</c:v>
                </c:pt>
                <c:pt idx="19">
                  <c:v>-2.1908300000000001</c:v>
                </c:pt>
                <c:pt idx="20">
                  <c:v>-2.0014099999999999</c:v>
                </c:pt>
                <c:pt idx="21">
                  <c:v>-1.8124499999999999</c:v>
                </c:pt>
                <c:pt idx="22">
                  <c:v>-1.62399</c:v>
                </c:pt>
                <c:pt idx="23">
                  <c:v>-1.43604</c:v>
                </c:pt>
                <c:pt idx="24">
                  <c:v>-1.2486200000000001</c:v>
                </c:pt>
                <c:pt idx="25">
                  <c:v>-1.06175</c:v>
                </c:pt>
                <c:pt idx="26">
                  <c:v>-0.87545700000000004</c:v>
                </c:pt>
                <c:pt idx="27">
                  <c:v>-0.68976599999999999</c:v>
                </c:pt>
                <c:pt idx="28">
                  <c:v>-0.50469900000000001</c:v>
                </c:pt>
                <c:pt idx="29">
                  <c:v>-0.32028099999999998</c:v>
                </c:pt>
                <c:pt idx="30">
                  <c:v>-0.13653799999999999</c:v>
                </c:pt>
                <c:pt idx="31">
                  <c:v>4.6503900000000001E-2</c:v>
                </c:pt>
                <c:pt idx="32">
                  <c:v>0.22881799999999999</c:v>
                </c:pt>
                <c:pt idx="33">
                  <c:v>0.41037400000000002</c:v>
                </c:pt>
                <c:pt idx="34">
                  <c:v>0.59114599999999995</c:v>
                </c:pt>
                <c:pt idx="35">
                  <c:v>0.77110199999999995</c:v>
                </c:pt>
                <c:pt idx="36">
                  <c:v>0.95021199999999995</c:v>
                </c:pt>
                <c:pt idx="37">
                  <c:v>1.1284400000000001</c:v>
                </c:pt>
                <c:pt idx="38">
                  <c:v>1.3057700000000001</c:v>
                </c:pt>
                <c:pt idx="39">
                  <c:v>1.4821500000000001</c:v>
                </c:pt>
                <c:pt idx="40">
                  <c:v>1.6575500000000001</c:v>
                </c:pt>
                <c:pt idx="41">
                  <c:v>1.83195</c:v>
                </c:pt>
                <c:pt idx="42">
                  <c:v>2.00529</c:v>
                </c:pt>
                <c:pt idx="43">
                  <c:v>2.1775600000000002</c:v>
                </c:pt>
                <c:pt idx="44">
                  <c:v>2.3487100000000001</c:v>
                </c:pt>
                <c:pt idx="45">
                  <c:v>2.5186999999999999</c:v>
                </c:pt>
                <c:pt idx="46">
                  <c:v>2.6875</c:v>
                </c:pt>
                <c:pt idx="47">
                  <c:v>2.8550599999999999</c:v>
                </c:pt>
                <c:pt idx="48">
                  <c:v>3.02136</c:v>
                </c:pt>
                <c:pt idx="49">
                  <c:v>3.18634</c:v>
                </c:pt>
                <c:pt idx="50">
                  <c:v>3.34998</c:v>
                </c:pt>
                <c:pt idx="51">
                  <c:v>3.5122200000000001</c:v>
                </c:pt>
                <c:pt idx="52">
                  <c:v>3.6730299999999998</c:v>
                </c:pt>
                <c:pt idx="53">
                  <c:v>3.8323800000000001</c:v>
                </c:pt>
                <c:pt idx="54">
                  <c:v>3.9902099999999998</c:v>
                </c:pt>
                <c:pt idx="55">
                  <c:v>4.1464800000000004</c:v>
                </c:pt>
                <c:pt idx="56">
                  <c:v>4.3011699999999999</c:v>
                </c:pt>
                <c:pt idx="57">
                  <c:v>4.4542200000000003</c:v>
                </c:pt>
                <c:pt idx="58">
                  <c:v>4.6055900000000003</c:v>
                </c:pt>
                <c:pt idx="59">
                  <c:v>4.7552500000000002</c:v>
                </c:pt>
                <c:pt idx="60">
                  <c:v>4.9031599999999997</c:v>
                </c:pt>
                <c:pt idx="61">
                  <c:v>5.0492699999999999</c:v>
                </c:pt>
                <c:pt idx="62">
                  <c:v>5.1935500000000001</c:v>
                </c:pt>
                <c:pt idx="63">
                  <c:v>5.33596</c:v>
                </c:pt>
                <c:pt idx="64">
                  <c:v>5.4764600000000003</c:v>
                </c:pt>
                <c:pt idx="65">
                  <c:v>5.6150200000000003</c:v>
                </c:pt>
                <c:pt idx="66">
                  <c:v>5.7516100000000003</c:v>
                </c:pt>
                <c:pt idx="67">
                  <c:v>5.8861800000000004</c:v>
                </c:pt>
                <c:pt idx="68">
                  <c:v>6.0187099999999996</c:v>
                </c:pt>
                <c:pt idx="69">
                  <c:v>6.1491600000000002</c:v>
                </c:pt>
                <c:pt idx="70">
                  <c:v>6.27752</c:v>
                </c:pt>
                <c:pt idx="71">
                  <c:v>6.40374</c:v>
                </c:pt>
                <c:pt idx="72">
                  <c:v>6.5278</c:v>
                </c:pt>
                <c:pt idx="73">
                  <c:v>6.6496899999999997</c:v>
                </c:pt>
                <c:pt idx="74">
                  <c:v>6.7693700000000003</c:v>
                </c:pt>
                <c:pt idx="75">
                  <c:v>6.8868200000000002</c:v>
                </c:pt>
                <c:pt idx="76">
                  <c:v>7.00204</c:v>
                </c:pt>
                <c:pt idx="77">
                  <c:v>7.1150000000000002</c:v>
                </c:pt>
                <c:pt idx="78">
                  <c:v>7.2256900000000002</c:v>
                </c:pt>
                <c:pt idx="79">
                  <c:v>7.3341000000000003</c:v>
                </c:pt>
                <c:pt idx="80">
                  <c:v>7.4402200000000001</c:v>
                </c:pt>
                <c:pt idx="81">
                  <c:v>7.5440399999999999</c:v>
                </c:pt>
                <c:pt idx="82">
                  <c:v>7.6455599999999997</c:v>
                </c:pt>
                <c:pt idx="83">
                  <c:v>7.7447800000000004</c:v>
                </c:pt>
                <c:pt idx="84">
                  <c:v>7.8416899999999998</c:v>
                </c:pt>
                <c:pt idx="85">
                  <c:v>7.9363099999999998</c:v>
                </c:pt>
                <c:pt idx="86">
                  <c:v>8.0286399999999993</c:v>
                </c:pt>
                <c:pt idx="87">
                  <c:v>8.1186799999999995</c:v>
                </c:pt>
                <c:pt idx="88">
                  <c:v>8.2064500000000002</c:v>
                </c:pt>
                <c:pt idx="89">
                  <c:v>8.2919499999999999</c:v>
                </c:pt>
                <c:pt idx="90">
                  <c:v>8.3752099999999992</c:v>
                </c:pt>
                <c:pt idx="91">
                  <c:v>8.4562399999999993</c:v>
                </c:pt>
                <c:pt idx="92">
                  <c:v>8.5350699999999993</c:v>
                </c:pt>
                <c:pt idx="93">
                  <c:v>8.6117000000000008</c:v>
                </c:pt>
                <c:pt idx="94">
                  <c:v>8.6861700000000006</c:v>
                </c:pt>
                <c:pt idx="95">
                  <c:v>8.7584999999999997</c:v>
                </c:pt>
                <c:pt idx="96">
                  <c:v>8.8287099999999992</c:v>
                </c:pt>
                <c:pt idx="97">
                  <c:v>8.8968500000000006</c:v>
                </c:pt>
                <c:pt idx="98">
                  <c:v>8.9629300000000001</c:v>
                </c:pt>
                <c:pt idx="99">
                  <c:v>9.02698</c:v>
                </c:pt>
                <c:pt idx="100">
                  <c:v>9.0890599999999999</c:v>
                </c:pt>
                <c:pt idx="101">
                  <c:v>9.1491699999999998</c:v>
                </c:pt>
                <c:pt idx="102">
                  <c:v>9.2073699999999992</c:v>
                </c:pt>
                <c:pt idx="103">
                  <c:v>9.2636900000000004</c:v>
                </c:pt>
                <c:pt idx="104">
                  <c:v>9.3181600000000007</c:v>
                </c:pt>
                <c:pt idx="105">
                  <c:v>9.3708200000000001</c:v>
                </c:pt>
                <c:pt idx="106">
                  <c:v>9.4217200000000005</c:v>
                </c:pt>
                <c:pt idx="107">
                  <c:v>9.4708900000000007</c:v>
                </c:pt>
                <c:pt idx="108">
                  <c:v>9.5183800000000005</c:v>
                </c:pt>
                <c:pt idx="109">
                  <c:v>9.5642099999999992</c:v>
                </c:pt>
                <c:pt idx="110">
                  <c:v>9.6084399999999999</c:v>
                </c:pt>
                <c:pt idx="111">
                  <c:v>9.6511099999999992</c:v>
                </c:pt>
                <c:pt idx="112">
                  <c:v>9.6922499999999996</c:v>
                </c:pt>
                <c:pt idx="113">
                  <c:v>9.7318999999999996</c:v>
                </c:pt>
                <c:pt idx="114">
                  <c:v>9.7701100000000007</c:v>
                </c:pt>
                <c:pt idx="115">
                  <c:v>9.8069199999999999</c:v>
                </c:pt>
                <c:pt idx="116">
                  <c:v>9.8423599999999993</c:v>
                </c:pt>
                <c:pt idx="117">
                  <c:v>9.8764900000000004</c:v>
                </c:pt>
                <c:pt idx="118">
                  <c:v>9.9093199999999992</c:v>
                </c:pt>
                <c:pt idx="119">
                  <c:v>9.9409200000000002</c:v>
                </c:pt>
                <c:pt idx="120">
                  <c:v>9.9712999999999994</c:v>
                </c:pt>
                <c:pt idx="121">
                  <c:v>10.000500000000001</c:v>
                </c:pt>
                <c:pt idx="122">
                  <c:v>10.028600000000001</c:v>
                </c:pt>
                <c:pt idx="123">
                  <c:v>10.0556</c:v>
                </c:pt>
                <c:pt idx="124">
                  <c:v>10.0815</c:v>
                </c:pt>
                <c:pt idx="125">
                  <c:v>10.1065</c:v>
                </c:pt>
                <c:pt idx="126">
                  <c:v>10.1304</c:v>
                </c:pt>
                <c:pt idx="127">
                  <c:v>10.1534</c:v>
                </c:pt>
                <c:pt idx="128">
                  <c:v>10.1754</c:v>
                </c:pt>
                <c:pt idx="129">
                  <c:v>10.1966</c:v>
                </c:pt>
                <c:pt idx="130">
                  <c:v>10.216900000000001</c:v>
                </c:pt>
                <c:pt idx="131">
                  <c:v>10.2364</c:v>
                </c:pt>
                <c:pt idx="132">
                  <c:v>10.255100000000001</c:v>
                </c:pt>
                <c:pt idx="133">
                  <c:v>10.273</c:v>
                </c:pt>
                <c:pt idx="134">
                  <c:v>10.2902</c:v>
                </c:pt>
                <c:pt idx="135">
                  <c:v>10.306699999999999</c:v>
                </c:pt>
                <c:pt idx="136">
                  <c:v>10.3225</c:v>
                </c:pt>
                <c:pt idx="137">
                  <c:v>10.3376</c:v>
                </c:pt>
                <c:pt idx="138">
                  <c:v>10.3521</c:v>
                </c:pt>
                <c:pt idx="139">
                  <c:v>10.366</c:v>
                </c:pt>
                <c:pt idx="140">
                  <c:v>10.379300000000001</c:v>
                </c:pt>
                <c:pt idx="141">
                  <c:v>10.392099999999999</c:v>
                </c:pt>
                <c:pt idx="142">
                  <c:v>10.404299999999999</c:v>
                </c:pt>
                <c:pt idx="143">
                  <c:v>10.416</c:v>
                </c:pt>
                <c:pt idx="144">
                  <c:v>10.427199999999999</c:v>
                </c:pt>
                <c:pt idx="145">
                  <c:v>10.437900000000001</c:v>
                </c:pt>
                <c:pt idx="146">
                  <c:v>10.4482</c:v>
                </c:pt>
                <c:pt idx="147">
                  <c:v>10.458</c:v>
                </c:pt>
                <c:pt idx="148">
                  <c:v>10.4674</c:v>
                </c:pt>
                <c:pt idx="149">
                  <c:v>10.4764</c:v>
                </c:pt>
                <c:pt idx="150">
                  <c:v>10.484999999999999</c:v>
                </c:pt>
                <c:pt idx="151">
                  <c:v>10.4933</c:v>
                </c:pt>
                <c:pt idx="152">
                  <c:v>10.501200000000001</c:v>
                </c:pt>
                <c:pt idx="153">
                  <c:v>10.508699999999999</c:v>
                </c:pt>
                <c:pt idx="154">
                  <c:v>10.5159</c:v>
                </c:pt>
                <c:pt idx="155">
                  <c:v>10.5228</c:v>
                </c:pt>
                <c:pt idx="156">
                  <c:v>10.529400000000001</c:v>
                </c:pt>
                <c:pt idx="157">
                  <c:v>10.5357</c:v>
                </c:pt>
                <c:pt idx="158">
                  <c:v>10.5418</c:v>
                </c:pt>
                <c:pt idx="159">
                  <c:v>10.547499999999999</c:v>
                </c:pt>
                <c:pt idx="160">
                  <c:v>10.553100000000001</c:v>
                </c:pt>
                <c:pt idx="161">
                  <c:v>10.558400000000001</c:v>
                </c:pt>
                <c:pt idx="162">
                  <c:v>10.5634</c:v>
                </c:pt>
                <c:pt idx="163">
                  <c:v>10.568199999999999</c:v>
                </c:pt>
                <c:pt idx="164">
                  <c:v>10.572800000000001</c:v>
                </c:pt>
                <c:pt idx="165">
                  <c:v>10.577299999999999</c:v>
                </c:pt>
                <c:pt idx="166">
                  <c:v>10.5815</c:v>
                </c:pt>
                <c:pt idx="167">
                  <c:v>10.5855</c:v>
                </c:pt>
                <c:pt idx="168">
                  <c:v>10.589399999999999</c:v>
                </c:pt>
                <c:pt idx="169">
                  <c:v>10.593</c:v>
                </c:pt>
                <c:pt idx="170">
                  <c:v>10.5966</c:v>
                </c:pt>
                <c:pt idx="171">
                  <c:v>10.5999</c:v>
                </c:pt>
                <c:pt idx="172">
                  <c:v>10.6031</c:v>
                </c:pt>
                <c:pt idx="173">
                  <c:v>10.606199999999999</c:v>
                </c:pt>
                <c:pt idx="174">
                  <c:v>10.6091</c:v>
                </c:pt>
                <c:pt idx="175">
                  <c:v>10.6119</c:v>
                </c:pt>
                <c:pt idx="176">
                  <c:v>10.614599999999999</c:v>
                </c:pt>
                <c:pt idx="177">
                  <c:v>10.6172</c:v>
                </c:pt>
                <c:pt idx="178">
                  <c:v>10.6196</c:v>
                </c:pt>
                <c:pt idx="179">
                  <c:v>10.622</c:v>
                </c:pt>
                <c:pt idx="180">
                  <c:v>10.6242</c:v>
                </c:pt>
                <c:pt idx="181">
                  <c:v>10.626300000000001</c:v>
                </c:pt>
                <c:pt idx="182">
                  <c:v>10.628399999999999</c:v>
                </c:pt>
                <c:pt idx="183">
                  <c:v>10.6303</c:v>
                </c:pt>
                <c:pt idx="184">
                  <c:v>10.632199999999999</c:v>
                </c:pt>
                <c:pt idx="185">
                  <c:v>10.634</c:v>
                </c:pt>
                <c:pt idx="186">
                  <c:v>10.6357</c:v>
                </c:pt>
                <c:pt idx="187">
                  <c:v>10.6373</c:v>
                </c:pt>
                <c:pt idx="188">
                  <c:v>10.6388</c:v>
                </c:pt>
                <c:pt idx="189">
                  <c:v>10.6403</c:v>
                </c:pt>
                <c:pt idx="190">
                  <c:v>10.6417</c:v>
                </c:pt>
                <c:pt idx="191">
                  <c:v>10.6431</c:v>
                </c:pt>
                <c:pt idx="192">
                  <c:v>10.644399999999999</c:v>
                </c:pt>
                <c:pt idx="193">
                  <c:v>10.6456</c:v>
                </c:pt>
                <c:pt idx="194">
                  <c:v>10.646800000000001</c:v>
                </c:pt>
                <c:pt idx="195">
                  <c:v>10.6479</c:v>
                </c:pt>
                <c:pt idx="196">
                  <c:v>10.648999999999999</c:v>
                </c:pt>
                <c:pt idx="197">
                  <c:v>10.65</c:v>
                </c:pt>
                <c:pt idx="198">
                  <c:v>10.651</c:v>
                </c:pt>
                <c:pt idx="199">
                  <c:v>10.651899999999999</c:v>
                </c:pt>
                <c:pt idx="200">
                  <c:v>10.652799999999999</c:v>
                </c:pt>
                <c:pt idx="201">
                  <c:v>10.653700000000001</c:v>
                </c:pt>
                <c:pt idx="202">
                  <c:v>10.654500000000001</c:v>
                </c:pt>
                <c:pt idx="203">
                  <c:v>10.6553</c:v>
                </c:pt>
                <c:pt idx="204">
                  <c:v>10.656000000000001</c:v>
                </c:pt>
                <c:pt idx="205">
                  <c:v>10.656700000000001</c:v>
                </c:pt>
                <c:pt idx="206">
                  <c:v>10.657400000000001</c:v>
                </c:pt>
                <c:pt idx="207">
                  <c:v>10.657999999999999</c:v>
                </c:pt>
                <c:pt idx="208">
                  <c:v>10.6587</c:v>
                </c:pt>
                <c:pt idx="209">
                  <c:v>10.6593</c:v>
                </c:pt>
                <c:pt idx="210">
                  <c:v>10.659800000000001</c:v>
                </c:pt>
                <c:pt idx="211">
                  <c:v>10.660399999999999</c:v>
                </c:pt>
                <c:pt idx="212">
                  <c:v>10.6609</c:v>
                </c:pt>
                <c:pt idx="213">
                  <c:v>10.6614</c:v>
                </c:pt>
                <c:pt idx="214">
                  <c:v>10.661799999999999</c:v>
                </c:pt>
                <c:pt idx="215">
                  <c:v>10.6623</c:v>
                </c:pt>
                <c:pt idx="216">
                  <c:v>10.662699999999999</c:v>
                </c:pt>
                <c:pt idx="217">
                  <c:v>10.6631</c:v>
                </c:pt>
                <c:pt idx="218">
                  <c:v>10.663500000000001</c:v>
                </c:pt>
                <c:pt idx="219">
                  <c:v>10.6639</c:v>
                </c:pt>
                <c:pt idx="220">
                  <c:v>10.664199999999999</c:v>
                </c:pt>
                <c:pt idx="221">
                  <c:v>10.6645</c:v>
                </c:pt>
                <c:pt idx="222">
                  <c:v>10.664899999999999</c:v>
                </c:pt>
                <c:pt idx="223">
                  <c:v>10.6652</c:v>
                </c:pt>
                <c:pt idx="224">
                  <c:v>10.6655</c:v>
                </c:pt>
                <c:pt idx="225">
                  <c:v>10.665699999999999</c:v>
                </c:pt>
                <c:pt idx="226">
                  <c:v>10.666</c:v>
                </c:pt>
                <c:pt idx="227">
                  <c:v>10.6662</c:v>
                </c:pt>
                <c:pt idx="228">
                  <c:v>10.666499999999999</c:v>
                </c:pt>
                <c:pt idx="229">
                  <c:v>10.666700000000001</c:v>
                </c:pt>
                <c:pt idx="230">
                  <c:v>10.6669</c:v>
                </c:pt>
                <c:pt idx="231">
                  <c:v>10.6671</c:v>
                </c:pt>
                <c:pt idx="232">
                  <c:v>10.667299999999999</c:v>
                </c:pt>
                <c:pt idx="233">
                  <c:v>10.6675</c:v>
                </c:pt>
                <c:pt idx="234">
                  <c:v>10.6677</c:v>
                </c:pt>
                <c:pt idx="235">
                  <c:v>10.6678</c:v>
                </c:pt>
                <c:pt idx="236">
                  <c:v>10.667999999999999</c:v>
                </c:pt>
                <c:pt idx="237">
                  <c:v>10.668200000000001</c:v>
                </c:pt>
                <c:pt idx="238">
                  <c:v>10.6683</c:v>
                </c:pt>
                <c:pt idx="239">
                  <c:v>10.6684</c:v>
                </c:pt>
                <c:pt idx="240">
                  <c:v>10.6686</c:v>
                </c:pt>
                <c:pt idx="241">
                  <c:v>10.668699999999999</c:v>
                </c:pt>
                <c:pt idx="242">
                  <c:v>10.668799999999999</c:v>
                </c:pt>
                <c:pt idx="243">
                  <c:v>10.668900000000001</c:v>
                </c:pt>
                <c:pt idx="244">
                  <c:v>10.669</c:v>
                </c:pt>
                <c:pt idx="245">
                  <c:v>10.6691</c:v>
                </c:pt>
                <c:pt idx="246">
                  <c:v>10.6692</c:v>
                </c:pt>
                <c:pt idx="247">
                  <c:v>10.6693</c:v>
                </c:pt>
                <c:pt idx="248">
                  <c:v>10.6693</c:v>
                </c:pt>
                <c:pt idx="249">
                  <c:v>10.6694</c:v>
                </c:pt>
                <c:pt idx="250">
                  <c:v>10.669499999999999</c:v>
                </c:pt>
                <c:pt idx="251">
                  <c:v>10.669499999999999</c:v>
                </c:pt>
                <c:pt idx="252">
                  <c:v>10.669600000000001</c:v>
                </c:pt>
                <c:pt idx="253">
                  <c:v>10.669600000000001</c:v>
                </c:pt>
                <c:pt idx="254">
                  <c:v>10.669700000000001</c:v>
                </c:pt>
                <c:pt idx="255">
                  <c:v>10.669700000000001</c:v>
                </c:pt>
                <c:pt idx="256">
                  <c:v>10.669700000000001</c:v>
                </c:pt>
                <c:pt idx="257">
                  <c:v>10.6698</c:v>
                </c:pt>
                <c:pt idx="258">
                  <c:v>10.6698</c:v>
                </c:pt>
                <c:pt idx="259">
                  <c:v>10.6698</c:v>
                </c:pt>
                <c:pt idx="260">
                  <c:v>10.6698</c:v>
                </c:pt>
                <c:pt idx="261">
                  <c:v>10.6699</c:v>
                </c:pt>
                <c:pt idx="262">
                  <c:v>10.6699</c:v>
                </c:pt>
                <c:pt idx="263">
                  <c:v>10.6699</c:v>
                </c:pt>
                <c:pt idx="264">
                  <c:v>10.6699</c:v>
                </c:pt>
                <c:pt idx="265">
                  <c:v>10.6699</c:v>
                </c:pt>
                <c:pt idx="266">
                  <c:v>10.6698</c:v>
                </c:pt>
                <c:pt idx="267">
                  <c:v>10.6698</c:v>
                </c:pt>
                <c:pt idx="268">
                  <c:v>10.6698</c:v>
                </c:pt>
                <c:pt idx="269">
                  <c:v>10.6698</c:v>
                </c:pt>
                <c:pt idx="270">
                  <c:v>10.6698</c:v>
                </c:pt>
                <c:pt idx="271">
                  <c:v>10.669700000000001</c:v>
                </c:pt>
                <c:pt idx="272">
                  <c:v>10.669700000000001</c:v>
                </c:pt>
                <c:pt idx="273">
                  <c:v>10.669700000000001</c:v>
                </c:pt>
                <c:pt idx="274">
                  <c:v>10.669600000000001</c:v>
                </c:pt>
                <c:pt idx="275">
                  <c:v>10.669600000000001</c:v>
                </c:pt>
                <c:pt idx="276">
                  <c:v>10.669499999999999</c:v>
                </c:pt>
                <c:pt idx="277">
                  <c:v>10.6694</c:v>
                </c:pt>
                <c:pt idx="278">
                  <c:v>10.6694</c:v>
                </c:pt>
                <c:pt idx="279">
                  <c:v>10.6693</c:v>
                </c:pt>
                <c:pt idx="280">
                  <c:v>10.6692</c:v>
                </c:pt>
                <c:pt idx="281">
                  <c:v>10.6691</c:v>
                </c:pt>
                <c:pt idx="282">
                  <c:v>10.669</c:v>
                </c:pt>
                <c:pt idx="283">
                  <c:v>10.668900000000001</c:v>
                </c:pt>
                <c:pt idx="284">
                  <c:v>10.668799999999999</c:v>
                </c:pt>
                <c:pt idx="285">
                  <c:v>10.668699999999999</c:v>
                </c:pt>
                <c:pt idx="286">
                  <c:v>10.6686</c:v>
                </c:pt>
                <c:pt idx="287">
                  <c:v>10.6685</c:v>
                </c:pt>
                <c:pt idx="288">
                  <c:v>10.6684</c:v>
                </c:pt>
                <c:pt idx="289">
                  <c:v>10.668200000000001</c:v>
                </c:pt>
                <c:pt idx="290">
                  <c:v>10.668100000000001</c:v>
                </c:pt>
                <c:pt idx="291">
                  <c:v>10.667899999999999</c:v>
                </c:pt>
                <c:pt idx="292">
                  <c:v>10.6678</c:v>
                </c:pt>
                <c:pt idx="293">
                  <c:v>10.6676</c:v>
                </c:pt>
                <c:pt idx="294">
                  <c:v>10.667400000000001</c:v>
                </c:pt>
                <c:pt idx="295">
                  <c:v>10.667199999999999</c:v>
                </c:pt>
                <c:pt idx="296">
                  <c:v>10.667</c:v>
                </c:pt>
                <c:pt idx="297">
                  <c:v>10.6668</c:v>
                </c:pt>
                <c:pt idx="298">
                  <c:v>10.666600000000001</c:v>
                </c:pt>
                <c:pt idx="299">
                  <c:v>10.666399999999999</c:v>
                </c:pt>
                <c:pt idx="300">
                  <c:v>10.6661</c:v>
                </c:pt>
                <c:pt idx="301">
                  <c:v>10.665900000000001</c:v>
                </c:pt>
                <c:pt idx="302">
                  <c:v>10.6656</c:v>
                </c:pt>
                <c:pt idx="303">
                  <c:v>10.6653</c:v>
                </c:pt>
                <c:pt idx="304">
                  <c:v>10.664999999999999</c:v>
                </c:pt>
                <c:pt idx="305">
                  <c:v>10.6647</c:v>
                </c:pt>
                <c:pt idx="306">
                  <c:v>10.664400000000001</c:v>
                </c:pt>
                <c:pt idx="307">
                  <c:v>10.664</c:v>
                </c:pt>
                <c:pt idx="308">
                  <c:v>10.6637</c:v>
                </c:pt>
                <c:pt idx="309">
                  <c:v>10.6633</c:v>
                </c:pt>
                <c:pt idx="310">
                  <c:v>10.6629</c:v>
                </c:pt>
                <c:pt idx="311">
                  <c:v>10.6625</c:v>
                </c:pt>
                <c:pt idx="312">
                  <c:v>10.662000000000001</c:v>
                </c:pt>
                <c:pt idx="313">
                  <c:v>10.6616</c:v>
                </c:pt>
                <c:pt idx="314">
                  <c:v>10.661099999999999</c:v>
                </c:pt>
                <c:pt idx="315">
                  <c:v>10.660600000000001</c:v>
                </c:pt>
                <c:pt idx="316">
                  <c:v>10.6601</c:v>
                </c:pt>
                <c:pt idx="317">
                  <c:v>10.6595</c:v>
                </c:pt>
                <c:pt idx="318">
                  <c:v>10.659000000000001</c:v>
                </c:pt>
                <c:pt idx="319">
                  <c:v>10.6584</c:v>
                </c:pt>
                <c:pt idx="320">
                  <c:v>10.6577</c:v>
                </c:pt>
                <c:pt idx="321">
                  <c:v>10.6571</c:v>
                </c:pt>
                <c:pt idx="322">
                  <c:v>10.6564</c:v>
                </c:pt>
                <c:pt idx="323">
                  <c:v>10.6556</c:v>
                </c:pt>
                <c:pt idx="324">
                  <c:v>10.6549</c:v>
                </c:pt>
                <c:pt idx="325">
                  <c:v>10.6541</c:v>
                </c:pt>
                <c:pt idx="326">
                  <c:v>10.6533</c:v>
                </c:pt>
                <c:pt idx="327">
                  <c:v>10.6524</c:v>
                </c:pt>
                <c:pt idx="328">
                  <c:v>10.6515</c:v>
                </c:pt>
                <c:pt idx="329">
                  <c:v>10.650499999999999</c:v>
                </c:pt>
                <c:pt idx="330">
                  <c:v>10.6495</c:v>
                </c:pt>
                <c:pt idx="331">
                  <c:v>10.6485</c:v>
                </c:pt>
                <c:pt idx="332">
                  <c:v>10.647399999999999</c:v>
                </c:pt>
                <c:pt idx="333">
                  <c:v>10.6462</c:v>
                </c:pt>
                <c:pt idx="334">
                  <c:v>10.645</c:v>
                </c:pt>
                <c:pt idx="335">
                  <c:v>10.643700000000001</c:v>
                </c:pt>
                <c:pt idx="336">
                  <c:v>10.6424</c:v>
                </c:pt>
                <c:pt idx="337">
                  <c:v>10.641</c:v>
                </c:pt>
                <c:pt idx="338">
                  <c:v>10.6396</c:v>
                </c:pt>
                <c:pt idx="339">
                  <c:v>10.6381</c:v>
                </c:pt>
                <c:pt idx="340">
                  <c:v>10.6365</c:v>
                </c:pt>
                <c:pt idx="341">
                  <c:v>10.6348</c:v>
                </c:pt>
                <c:pt idx="342">
                  <c:v>10.633100000000001</c:v>
                </c:pt>
                <c:pt idx="343">
                  <c:v>10.6313</c:v>
                </c:pt>
                <c:pt idx="344">
                  <c:v>10.6294</c:v>
                </c:pt>
                <c:pt idx="345">
                  <c:v>10.6274</c:v>
                </c:pt>
                <c:pt idx="346">
                  <c:v>10.625299999999999</c:v>
                </c:pt>
                <c:pt idx="347">
                  <c:v>10.623100000000001</c:v>
                </c:pt>
                <c:pt idx="348">
                  <c:v>10.620799999999999</c:v>
                </c:pt>
                <c:pt idx="349">
                  <c:v>10.618399999999999</c:v>
                </c:pt>
                <c:pt idx="350">
                  <c:v>10.6159</c:v>
                </c:pt>
                <c:pt idx="351">
                  <c:v>10.613300000000001</c:v>
                </c:pt>
                <c:pt idx="352">
                  <c:v>10.6105</c:v>
                </c:pt>
                <c:pt idx="353">
                  <c:v>10.607699999999999</c:v>
                </c:pt>
                <c:pt idx="354">
                  <c:v>10.604699999999999</c:v>
                </c:pt>
                <c:pt idx="355">
                  <c:v>10.6015</c:v>
                </c:pt>
                <c:pt idx="356">
                  <c:v>10.5982</c:v>
                </c:pt>
                <c:pt idx="357">
                  <c:v>10.594799999999999</c:v>
                </c:pt>
                <c:pt idx="358">
                  <c:v>10.591200000000001</c:v>
                </c:pt>
                <c:pt idx="359">
                  <c:v>10.587400000000001</c:v>
                </c:pt>
                <c:pt idx="360">
                  <c:v>10.583500000000001</c:v>
                </c:pt>
                <c:pt idx="361">
                  <c:v>10.5794</c:v>
                </c:pt>
                <c:pt idx="362">
                  <c:v>10.575100000000001</c:v>
                </c:pt>
                <c:pt idx="363">
                  <c:v>10.570499999999999</c:v>
                </c:pt>
                <c:pt idx="364">
                  <c:v>10.565799999999999</c:v>
                </c:pt>
                <c:pt idx="365">
                  <c:v>10.5609</c:v>
                </c:pt>
                <c:pt idx="366">
                  <c:v>10.5557</c:v>
                </c:pt>
                <c:pt idx="367">
                  <c:v>10.5503</c:v>
                </c:pt>
                <c:pt idx="368">
                  <c:v>10.544700000000001</c:v>
                </c:pt>
                <c:pt idx="369">
                  <c:v>10.5388</c:v>
                </c:pt>
                <c:pt idx="370">
                  <c:v>10.5326</c:v>
                </c:pt>
                <c:pt idx="371">
                  <c:v>10.5261</c:v>
                </c:pt>
                <c:pt idx="372">
                  <c:v>10.519399999999999</c:v>
                </c:pt>
                <c:pt idx="373">
                  <c:v>10.5123</c:v>
                </c:pt>
                <c:pt idx="374">
                  <c:v>10.504899999999999</c:v>
                </c:pt>
                <c:pt idx="375">
                  <c:v>10.497199999999999</c:v>
                </c:pt>
                <c:pt idx="376">
                  <c:v>10.4892</c:v>
                </c:pt>
                <c:pt idx="377">
                  <c:v>10.480700000000001</c:v>
                </c:pt>
                <c:pt idx="378">
                  <c:v>10.4719</c:v>
                </c:pt>
                <c:pt idx="379">
                  <c:v>10.4627</c:v>
                </c:pt>
                <c:pt idx="380">
                  <c:v>10.453099999999999</c:v>
                </c:pt>
                <c:pt idx="381">
                  <c:v>10.443099999999999</c:v>
                </c:pt>
                <c:pt idx="382">
                  <c:v>10.432600000000001</c:v>
                </c:pt>
                <c:pt idx="383">
                  <c:v>10.4216</c:v>
                </c:pt>
                <c:pt idx="384">
                  <c:v>10.4102</c:v>
                </c:pt>
                <c:pt idx="385">
                  <c:v>10.398199999999999</c:v>
                </c:pt>
                <c:pt idx="386">
                  <c:v>10.3857</c:v>
                </c:pt>
                <c:pt idx="387">
                  <c:v>10.3727</c:v>
                </c:pt>
                <c:pt idx="388">
                  <c:v>10.3591</c:v>
                </c:pt>
                <c:pt idx="389">
                  <c:v>10.344900000000001</c:v>
                </c:pt>
                <c:pt idx="390">
                  <c:v>10.3301</c:v>
                </c:pt>
                <c:pt idx="391">
                  <c:v>10.3146</c:v>
                </c:pt>
                <c:pt idx="392">
                  <c:v>10.298500000000001</c:v>
                </c:pt>
                <c:pt idx="393">
                  <c:v>10.281599999999999</c:v>
                </c:pt>
                <c:pt idx="394">
                  <c:v>10.264099999999999</c:v>
                </c:pt>
                <c:pt idx="395">
                  <c:v>10.245799999999999</c:v>
                </c:pt>
                <c:pt idx="396">
                  <c:v>10.226699999999999</c:v>
                </c:pt>
                <c:pt idx="397">
                  <c:v>10.206799999999999</c:v>
                </c:pt>
                <c:pt idx="398">
                  <c:v>10.186</c:v>
                </c:pt>
                <c:pt idx="399">
                  <c:v>10.164400000000001</c:v>
                </c:pt>
                <c:pt idx="400">
                  <c:v>10.1419</c:v>
                </c:pt>
                <c:pt idx="401">
                  <c:v>10.118399999999999</c:v>
                </c:pt>
                <c:pt idx="402">
                  <c:v>10.093999999999999</c:v>
                </c:pt>
                <c:pt idx="403">
                  <c:v>10.0686</c:v>
                </c:pt>
                <c:pt idx="404">
                  <c:v>10.0421</c:v>
                </c:pt>
                <c:pt idx="405">
                  <c:v>10.0146</c:v>
                </c:pt>
                <c:pt idx="406">
                  <c:v>9.9859299999999998</c:v>
                </c:pt>
                <c:pt idx="407">
                  <c:v>9.9561299999999999</c:v>
                </c:pt>
                <c:pt idx="408">
                  <c:v>9.9251400000000007</c:v>
                </c:pt>
                <c:pt idx="409">
                  <c:v>9.8929200000000002</c:v>
                </c:pt>
                <c:pt idx="410">
                  <c:v>9.8594399999999993</c:v>
                </c:pt>
                <c:pt idx="411">
                  <c:v>9.8246599999999997</c:v>
                </c:pt>
                <c:pt idx="412">
                  <c:v>9.7885299999999997</c:v>
                </c:pt>
                <c:pt idx="413">
                  <c:v>9.7510200000000005</c:v>
                </c:pt>
                <c:pt idx="414">
                  <c:v>9.7120899999999999</c:v>
                </c:pt>
                <c:pt idx="415">
                  <c:v>9.6716899999999999</c:v>
                </c:pt>
                <c:pt idx="416">
                  <c:v>9.6297899999999998</c:v>
                </c:pt>
                <c:pt idx="417">
                  <c:v>9.5863399999999999</c:v>
                </c:pt>
                <c:pt idx="418">
                  <c:v>9.5413099999999993</c:v>
                </c:pt>
                <c:pt idx="419">
                  <c:v>9.4946400000000004</c:v>
                </c:pt>
                <c:pt idx="420">
                  <c:v>9.4463200000000001</c:v>
                </c:pt>
                <c:pt idx="421">
                  <c:v>9.3962800000000009</c:v>
                </c:pt>
                <c:pt idx="422">
                  <c:v>9.3444900000000004</c:v>
                </c:pt>
                <c:pt idx="423">
                  <c:v>9.2909199999999998</c:v>
                </c:pt>
                <c:pt idx="424">
                  <c:v>9.2355300000000007</c:v>
                </c:pt>
                <c:pt idx="425">
                  <c:v>9.1782699999999995</c:v>
                </c:pt>
                <c:pt idx="426">
                  <c:v>9.1191099999999992</c:v>
                </c:pt>
                <c:pt idx="427">
                  <c:v>9.0580099999999995</c:v>
                </c:pt>
                <c:pt idx="428">
                  <c:v>8.9949399999999997</c:v>
                </c:pt>
                <c:pt idx="429">
                  <c:v>8.9298699999999993</c:v>
                </c:pt>
                <c:pt idx="430">
                  <c:v>8.8627599999999997</c:v>
                </c:pt>
                <c:pt idx="431">
                  <c:v>8.7935800000000004</c:v>
                </c:pt>
                <c:pt idx="432">
                  <c:v>8.7223100000000002</c:v>
                </c:pt>
                <c:pt idx="433">
                  <c:v>8.6488999999999994</c:v>
                </c:pt>
                <c:pt idx="434">
                  <c:v>8.5733499999999996</c:v>
                </c:pt>
                <c:pt idx="435">
                  <c:v>8.4956200000000006</c:v>
                </c:pt>
                <c:pt idx="436">
                  <c:v>8.4156899999999997</c:v>
                </c:pt>
                <c:pt idx="437">
                  <c:v>8.3335399999999993</c:v>
                </c:pt>
                <c:pt idx="438">
                  <c:v>8.2491500000000002</c:v>
                </c:pt>
                <c:pt idx="439">
                  <c:v>8.1625099999999993</c:v>
                </c:pt>
                <c:pt idx="440">
                  <c:v>8.0736000000000008</c:v>
                </c:pt>
                <c:pt idx="441">
                  <c:v>7.9824099999999998</c:v>
                </c:pt>
                <c:pt idx="442">
                  <c:v>7.8889300000000002</c:v>
                </c:pt>
                <c:pt idx="443">
                  <c:v>7.7931600000000003</c:v>
                </c:pt>
                <c:pt idx="444">
                  <c:v>7.6950799999999999</c:v>
                </c:pt>
                <c:pt idx="445">
                  <c:v>7.5947100000000001</c:v>
                </c:pt>
                <c:pt idx="446">
                  <c:v>7.4920299999999997</c:v>
                </c:pt>
                <c:pt idx="447">
                  <c:v>7.38706</c:v>
                </c:pt>
                <c:pt idx="448">
                  <c:v>7.2797900000000002</c:v>
                </c:pt>
                <c:pt idx="449">
                  <c:v>7.1702300000000001</c:v>
                </c:pt>
                <c:pt idx="450">
                  <c:v>7.0584100000000003</c:v>
                </c:pt>
                <c:pt idx="451">
                  <c:v>6.9443099999999998</c:v>
                </c:pt>
                <c:pt idx="452">
                  <c:v>6.8279699999999997</c:v>
                </c:pt>
                <c:pt idx="453">
                  <c:v>6.7093999999999996</c:v>
                </c:pt>
                <c:pt idx="454">
                  <c:v>6.5886100000000001</c:v>
                </c:pt>
                <c:pt idx="455">
                  <c:v>6.46563</c:v>
                </c:pt>
                <c:pt idx="456">
                  <c:v>6.34049</c:v>
                </c:pt>
                <c:pt idx="457">
                  <c:v>6.2131999999999996</c:v>
                </c:pt>
                <c:pt idx="458">
                  <c:v>6.0837899999999996</c:v>
                </c:pt>
                <c:pt idx="459">
                  <c:v>5.9523000000000001</c:v>
                </c:pt>
                <c:pt idx="460">
                  <c:v>5.8187499999999996</c:v>
                </c:pt>
                <c:pt idx="461">
                  <c:v>5.6831699999999996</c:v>
                </c:pt>
                <c:pt idx="462">
                  <c:v>5.5455899999999998</c:v>
                </c:pt>
                <c:pt idx="463">
                  <c:v>5.4060600000000001</c:v>
                </c:pt>
                <c:pt idx="464">
                  <c:v>5.2646100000000002</c:v>
                </c:pt>
                <c:pt idx="465">
                  <c:v>5.1212600000000004</c:v>
                </c:pt>
                <c:pt idx="466">
                  <c:v>4.97607</c:v>
                </c:pt>
                <c:pt idx="467">
                  <c:v>4.8290699999999998</c:v>
                </c:pt>
                <c:pt idx="468">
                  <c:v>4.6802900000000003</c:v>
                </c:pt>
                <c:pt idx="469">
                  <c:v>4.5297799999999997</c:v>
                </c:pt>
                <c:pt idx="470">
                  <c:v>4.3775700000000004</c:v>
                </c:pt>
                <c:pt idx="471">
                  <c:v>4.2237200000000001</c:v>
                </c:pt>
                <c:pt idx="472">
                  <c:v>4.0682400000000003</c:v>
                </c:pt>
                <c:pt idx="473">
                  <c:v>3.9112</c:v>
                </c:pt>
                <c:pt idx="474">
                  <c:v>3.7526299999999999</c:v>
                </c:pt>
                <c:pt idx="475">
                  <c:v>3.5925600000000002</c:v>
                </c:pt>
                <c:pt idx="476">
                  <c:v>3.4310499999999999</c:v>
                </c:pt>
                <c:pt idx="477">
                  <c:v>3.2681300000000002</c:v>
                </c:pt>
                <c:pt idx="478">
                  <c:v>3.1038399999999999</c:v>
                </c:pt>
                <c:pt idx="479">
                  <c:v>2.9382199999999998</c:v>
                </c:pt>
                <c:pt idx="480">
                  <c:v>2.7713100000000002</c:v>
                </c:pt>
                <c:pt idx="481">
                  <c:v>2.6031499999999999</c:v>
                </c:pt>
                <c:pt idx="482">
                  <c:v>2.4337800000000001</c:v>
                </c:pt>
                <c:pt idx="483">
                  <c:v>2.2632400000000001</c:v>
                </c:pt>
                <c:pt idx="484">
                  <c:v>2.0915599999999999</c:v>
                </c:pt>
                <c:pt idx="485">
                  <c:v>1.9187799999999999</c:v>
                </c:pt>
                <c:pt idx="486">
                  <c:v>1.74495</c:v>
                </c:pt>
                <c:pt idx="487">
                  <c:v>1.57009</c:v>
                </c:pt>
                <c:pt idx="488">
                  <c:v>1.3942300000000001</c:v>
                </c:pt>
                <c:pt idx="489">
                  <c:v>1.2174199999999999</c:v>
                </c:pt>
                <c:pt idx="490">
                  <c:v>1.03969</c:v>
                </c:pt>
                <c:pt idx="491">
                  <c:v>0.86106199999999999</c:v>
                </c:pt>
                <c:pt idx="492">
                  <c:v>0.68157800000000002</c:v>
                </c:pt>
                <c:pt idx="493">
                  <c:v>0.50126700000000002</c:v>
                </c:pt>
                <c:pt idx="494">
                  <c:v>0.320158</c:v>
                </c:pt>
                <c:pt idx="495">
                  <c:v>0.13828099999999999</c:v>
                </c:pt>
                <c:pt idx="496">
                  <c:v>-4.4334699999999998E-2</c:v>
                </c:pt>
                <c:pt idx="497">
                  <c:v>-0.227662</c:v>
                </c:pt>
                <c:pt idx="498">
                  <c:v>-0.41167300000000001</c:v>
                </c:pt>
                <c:pt idx="499">
                  <c:v>-0.59634299999999996</c:v>
                </c:pt>
                <c:pt idx="500">
                  <c:v>-0.78164500000000003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C-4262-87CE-D4A21D160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896815"/>
        <c:axId val="2021890575"/>
      </c:scatterChart>
      <c:valAx>
        <c:axId val="2021896815"/>
        <c:scaling>
          <c:logBase val="10"/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(Hz)_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90575"/>
        <c:crosses val="autoZero"/>
        <c:crossBetween val="midCat"/>
        <c:majorUnit val="10"/>
      </c:valAx>
      <c:valAx>
        <c:axId val="20218905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968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Gain (dB) vs Frequency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8586089859334967E-2"/>
          <c:y val="0.12455263476680802"/>
          <c:w val="0.78718440336801876"/>
          <c:h val="0.75863185947910361"/>
        </c:manualLayout>
      </c:layout>
      <c:scatterChart>
        <c:scatterStyle val="lineMarker"/>
        <c:varyColors val="1"/>
        <c:ser>
          <c:idx val="0"/>
          <c:order val="0"/>
          <c:tx>
            <c:v>10x (measured)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'Breadboard - AFS (Single-Supply'!$A$10:$A$30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'Breadboard - AFS (Single-Supply'!$E$10:$E$30</c:f>
              <c:numCache>
                <c:formatCode>General</c:formatCode>
                <c:ptCount val="21"/>
                <c:pt idx="0">
                  <c:v>-5.179373013265395</c:v>
                </c:pt>
                <c:pt idx="1">
                  <c:v>3.5463270016997499</c:v>
                </c:pt>
                <c:pt idx="2">
                  <c:v>6.6815104141703703</c:v>
                </c:pt>
                <c:pt idx="3">
                  <c:v>9.2017583084176415</c:v>
                </c:pt>
                <c:pt idx="4">
                  <c:v>10.513075986702194</c:v>
                </c:pt>
                <c:pt idx="5">
                  <c:v>10.752040042020878</c:v>
                </c:pt>
                <c:pt idx="6">
                  <c:v>10.752040042020878</c:v>
                </c:pt>
                <c:pt idx="7">
                  <c:v>10.806157909539378</c:v>
                </c:pt>
                <c:pt idx="8">
                  <c:v>10.806157909539378</c:v>
                </c:pt>
                <c:pt idx="9">
                  <c:v>10.806157909539378</c:v>
                </c:pt>
                <c:pt idx="10">
                  <c:v>10.711460318170865</c:v>
                </c:pt>
                <c:pt idx="11">
                  <c:v>10.530260598708633</c:v>
                </c:pt>
                <c:pt idx="12">
                  <c:v>10.214988643670219</c:v>
                </c:pt>
                <c:pt idx="13">
                  <c:v>8.9326386514352425</c:v>
                </c:pt>
                <c:pt idx="14">
                  <c:v>7.4276196030513937</c:v>
                </c:pt>
                <c:pt idx="15">
                  <c:v>4.6908604048912412</c:v>
                </c:pt>
                <c:pt idx="16">
                  <c:v>-0.41458969717488081</c:v>
                </c:pt>
                <c:pt idx="17">
                  <c:v>-5.5200397992410029</c:v>
                </c:pt>
                <c:pt idx="18">
                  <c:v>-7.8298450424259016</c:v>
                </c:pt>
                <c:pt idx="19">
                  <c:v>-10.482356347917721</c:v>
                </c:pt>
                <c:pt idx="20">
                  <c:v>-16.604978379506754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1C-4477-8EF3-BAA4B28A9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 (Hz)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chemeClr val="bg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Gain (dB)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10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88732860520094559"/>
          <c:y val="8.7282858873410103E-3"/>
          <c:w val="0.10321513002364066"/>
          <c:h val="0.9912717141126590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54982140511309E-2"/>
          <c:y val="6.380404399297207E-2"/>
          <c:w val="0.87455534155529191"/>
          <c:h val="0.7516552653027505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'Combined Single Supply (BB+Sim)'!$B$1</c:f>
              <c:strCache>
                <c:ptCount val="1"/>
                <c:pt idx="0">
                  <c:v>Simulation (Single Supply 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7"/>
            <c:marker>
              <c:symbol val="diamond"/>
              <c:size val="3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BD-47B1-9F94-4F217EAC4377}"/>
              </c:ext>
            </c:extLst>
          </c:dPt>
          <c:xVal>
            <c:numRef>
              <c:f>'Combined Single Supply (BB+Sim)'!$A$2:$A$502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Single Supply (BB+Sim)'!$B$2:$B$502</c:f>
              <c:numCache>
                <c:formatCode>General</c:formatCode>
                <c:ptCount val="501"/>
                <c:pt idx="0">
                  <c:v>-5.8578200000000002</c:v>
                </c:pt>
                <c:pt idx="1">
                  <c:v>-5.6623700000000001</c:v>
                </c:pt>
                <c:pt idx="2">
                  <c:v>-5.4671200000000004</c:v>
                </c:pt>
                <c:pt idx="3">
                  <c:v>-5.2721</c:v>
                </c:pt>
                <c:pt idx="4">
                  <c:v>-5.0773000000000001</c:v>
                </c:pt>
                <c:pt idx="5">
                  <c:v>-4.8827499999999997</c:v>
                </c:pt>
                <c:pt idx="6">
                  <c:v>-4.6884399999999999</c:v>
                </c:pt>
                <c:pt idx="7">
                  <c:v>-4.4943900000000001</c:v>
                </c:pt>
                <c:pt idx="8">
                  <c:v>-4.3006200000000003</c:v>
                </c:pt>
                <c:pt idx="9">
                  <c:v>-4.1071299999999997</c:v>
                </c:pt>
                <c:pt idx="10">
                  <c:v>-3.9139300000000001</c:v>
                </c:pt>
                <c:pt idx="11">
                  <c:v>-3.72105</c:v>
                </c:pt>
                <c:pt idx="12">
                  <c:v>-3.5284800000000001</c:v>
                </c:pt>
                <c:pt idx="13">
                  <c:v>-3.3362599999999998</c:v>
                </c:pt>
                <c:pt idx="14">
                  <c:v>-3.14438</c:v>
                </c:pt>
                <c:pt idx="15">
                  <c:v>-2.9528699999999999</c:v>
                </c:pt>
                <c:pt idx="16">
                  <c:v>-2.7617500000000001</c:v>
                </c:pt>
                <c:pt idx="17">
                  <c:v>-2.5710199999999999</c:v>
                </c:pt>
                <c:pt idx="18">
                  <c:v>-2.3807100000000001</c:v>
                </c:pt>
                <c:pt idx="19">
                  <c:v>-2.1908300000000001</c:v>
                </c:pt>
                <c:pt idx="20">
                  <c:v>-2.0014099999999999</c:v>
                </c:pt>
                <c:pt idx="21">
                  <c:v>-1.8124499999999999</c:v>
                </c:pt>
                <c:pt idx="22">
                  <c:v>-1.62399</c:v>
                </c:pt>
                <c:pt idx="23">
                  <c:v>-1.43604</c:v>
                </c:pt>
                <c:pt idx="24">
                  <c:v>-1.2486200000000001</c:v>
                </c:pt>
                <c:pt idx="25">
                  <c:v>-1.06175</c:v>
                </c:pt>
                <c:pt idx="26">
                  <c:v>-0.87545700000000004</c:v>
                </c:pt>
                <c:pt idx="27">
                  <c:v>-0.68976599999999999</c:v>
                </c:pt>
                <c:pt idx="28">
                  <c:v>-0.50469900000000001</c:v>
                </c:pt>
                <c:pt idx="29">
                  <c:v>-0.32028099999999998</c:v>
                </c:pt>
                <c:pt idx="30">
                  <c:v>-0.13653799999999999</c:v>
                </c:pt>
                <c:pt idx="31">
                  <c:v>4.6503900000000001E-2</c:v>
                </c:pt>
                <c:pt idx="32">
                  <c:v>0.22881799999999999</c:v>
                </c:pt>
                <c:pt idx="33">
                  <c:v>0.41037400000000002</c:v>
                </c:pt>
                <c:pt idx="34">
                  <c:v>0.59114599999999995</c:v>
                </c:pt>
                <c:pt idx="35">
                  <c:v>0.77110199999999995</c:v>
                </c:pt>
                <c:pt idx="36">
                  <c:v>0.95021199999999995</c:v>
                </c:pt>
                <c:pt idx="37">
                  <c:v>1.1284400000000001</c:v>
                </c:pt>
                <c:pt idx="38">
                  <c:v>1.3057700000000001</c:v>
                </c:pt>
                <c:pt idx="39">
                  <c:v>1.4821500000000001</c:v>
                </c:pt>
                <c:pt idx="40">
                  <c:v>1.6575500000000001</c:v>
                </c:pt>
                <c:pt idx="41">
                  <c:v>1.83195</c:v>
                </c:pt>
                <c:pt idx="42">
                  <c:v>2.00529</c:v>
                </c:pt>
                <c:pt idx="43">
                  <c:v>2.1775600000000002</c:v>
                </c:pt>
                <c:pt idx="44">
                  <c:v>2.3487100000000001</c:v>
                </c:pt>
                <c:pt idx="45">
                  <c:v>2.5186999999999999</c:v>
                </c:pt>
                <c:pt idx="46">
                  <c:v>2.6875</c:v>
                </c:pt>
                <c:pt idx="47">
                  <c:v>2.8550599999999999</c:v>
                </c:pt>
                <c:pt idx="48">
                  <c:v>3.02136</c:v>
                </c:pt>
                <c:pt idx="49">
                  <c:v>3.18634</c:v>
                </c:pt>
                <c:pt idx="50">
                  <c:v>3.34998</c:v>
                </c:pt>
                <c:pt idx="51">
                  <c:v>3.5122200000000001</c:v>
                </c:pt>
                <c:pt idx="52">
                  <c:v>3.6730299999999998</c:v>
                </c:pt>
                <c:pt idx="53">
                  <c:v>3.8323800000000001</c:v>
                </c:pt>
                <c:pt idx="54">
                  <c:v>3.9902099999999998</c:v>
                </c:pt>
                <c:pt idx="55">
                  <c:v>4.1464800000000004</c:v>
                </c:pt>
                <c:pt idx="56">
                  <c:v>4.3011699999999999</c:v>
                </c:pt>
                <c:pt idx="57">
                  <c:v>4.4542200000000003</c:v>
                </c:pt>
                <c:pt idx="58">
                  <c:v>4.6055900000000003</c:v>
                </c:pt>
                <c:pt idx="59">
                  <c:v>4.7552500000000002</c:v>
                </c:pt>
                <c:pt idx="60">
                  <c:v>4.9031599999999997</c:v>
                </c:pt>
                <c:pt idx="61">
                  <c:v>5.0492699999999999</c:v>
                </c:pt>
                <c:pt idx="62">
                  <c:v>5.1935500000000001</c:v>
                </c:pt>
                <c:pt idx="63">
                  <c:v>5.33596</c:v>
                </c:pt>
                <c:pt idx="64">
                  <c:v>5.4764600000000003</c:v>
                </c:pt>
                <c:pt idx="65">
                  <c:v>5.6150200000000003</c:v>
                </c:pt>
                <c:pt idx="66">
                  <c:v>5.7516100000000003</c:v>
                </c:pt>
                <c:pt idx="67">
                  <c:v>5.8861800000000004</c:v>
                </c:pt>
                <c:pt idx="68">
                  <c:v>6.0187099999999996</c:v>
                </c:pt>
                <c:pt idx="69">
                  <c:v>6.1491600000000002</c:v>
                </c:pt>
                <c:pt idx="70">
                  <c:v>6.27752</c:v>
                </c:pt>
                <c:pt idx="71">
                  <c:v>6.40374</c:v>
                </c:pt>
                <c:pt idx="72">
                  <c:v>6.5278</c:v>
                </c:pt>
                <c:pt idx="73">
                  <c:v>6.6496899999999997</c:v>
                </c:pt>
                <c:pt idx="74">
                  <c:v>6.7693700000000003</c:v>
                </c:pt>
                <c:pt idx="75">
                  <c:v>6.8868200000000002</c:v>
                </c:pt>
                <c:pt idx="76">
                  <c:v>7.00204</c:v>
                </c:pt>
                <c:pt idx="77">
                  <c:v>7.1150000000000002</c:v>
                </c:pt>
                <c:pt idx="78">
                  <c:v>7.2256900000000002</c:v>
                </c:pt>
                <c:pt idx="79">
                  <c:v>7.3341000000000003</c:v>
                </c:pt>
                <c:pt idx="80">
                  <c:v>7.4402200000000001</c:v>
                </c:pt>
                <c:pt idx="81">
                  <c:v>7.5440399999999999</c:v>
                </c:pt>
                <c:pt idx="82">
                  <c:v>7.6455599999999997</c:v>
                </c:pt>
                <c:pt idx="83">
                  <c:v>7.7447800000000004</c:v>
                </c:pt>
                <c:pt idx="84">
                  <c:v>7.8416899999999998</c:v>
                </c:pt>
                <c:pt idx="85">
                  <c:v>7.9363099999999998</c:v>
                </c:pt>
                <c:pt idx="86">
                  <c:v>8.0286399999999993</c:v>
                </c:pt>
                <c:pt idx="87">
                  <c:v>8.1186799999999995</c:v>
                </c:pt>
                <c:pt idx="88">
                  <c:v>8.2064500000000002</c:v>
                </c:pt>
                <c:pt idx="89">
                  <c:v>8.2919499999999999</c:v>
                </c:pt>
                <c:pt idx="90">
                  <c:v>8.3752099999999992</c:v>
                </c:pt>
                <c:pt idx="91">
                  <c:v>8.4562399999999993</c:v>
                </c:pt>
                <c:pt idx="92">
                  <c:v>8.5350699999999993</c:v>
                </c:pt>
                <c:pt idx="93">
                  <c:v>8.6117000000000008</c:v>
                </c:pt>
                <c:pt idx="94">
                  <c:v>8.6861700000000006</c:v>
                </c:pt>
                <c:pt idx="95">
                  <c:v>8.7584999999999997</c:v>
                </c:pt>
                <c:pt idx="96">
                  <c:v>8.8287099999999992</c:v>
                </c:pt>
                <c:pt idx="97">
                  <c:v>8.8968500000000006</c:v>
                </c:pt>
                <c:pt idx="98">
                  <c:v>8.9629300000000001</c:v>
                </c:pt>
                <c:pt idx="99">
                  <c:v>9.02698</c:v>
                </c:pt>
                <c:pt idx="100">
                  <c:v>9.0890599999999999</c:v>
                </c:pt>
                <c:pt idx="101">
                  <c:v>9.1491699999999998</c:v>
                </c:pt>
                <c:pt idx="102">
                  <c:v>9.2073699999999992</c:v>
                </c:pt>
                <c:pt idx="103">
                  <c:v>9.2636900000000004</c:v>
                </c:pt>
                <c:pt idx="104">
                  <c:v>9.3181600000000007</c:v>
                </c:pt>
                <c:pt idx="105">
                  <c:v>9.3708200000000001</c:v>
                </c:pt>
                <c:pt idx="106">
                  <c:v>9.4217200000000005</c:v>
                </c:pt>
                <c:pt idx="107">
                  <c:v>9.4708900000000007</c:v>
                </c:pt>
                <c:pt idx="108">
                  <c:v>9.5183800000000005</c:v>
                </c:pt>
                <c:pt idx="109">
                  <c:v>9.5642099999999992</c:v>
                </c:pt>
                <c:pt idx="110">
                  <c:v>9.6084399999999999</c:v>
                </c:pt>
                <c:pt idx="111">
                  <c:v>9.6511099999999992</c:v>
                </c:pt>
                <c:pt idx="112">
                  <c:v>9.6922499999999996</c:v>
                </c:pt>
                <c:pt idx="113">
                  <c:v>9.7318999999999996</c:v>
                </c:pt>
                <c:pt idx="114">
                  <c:v>9.7701100000000007</c:v>
                </c:pt>
                <c:pt idx="115">
                  <c:v>9.8069199999999999</c:v>
                </c:pt>
                <c:pt idx="116">
                  <c:v>9.8423599999999993</c:v>
                </c:pt>
                <c:pt idx="117">
                  <c:v>9.8764900000000004</c:v>
                </c:pt>
                <c:pt idx="118">
                  <c:v>9.9093199999999992</c:v>
                </c:pt>
                <c:pt idx="119">
                  <c:v>9.9409200000000002</c:v>
                </c:pt>
                <c:pt idx="120">
                  <c:v>9.9712999999999994</c:v>
                </c:pt>
                <c:pt idx="121">
                  <c:v>10.000500000000001</c:v>
                </c:pt>
                <c:pt idx="122">
                  <c:v>10.028600000000001</c:v>
                </c:pt>
                <c:pt idx="123">
                  <c:v>10.0556</c:v>
                </c:pt>
                <c:pt idx="124">
                  <c:v>10.0815</c:v>
                </c:pt>
                <c:pt idx="125">
                  <c:v>10.1065</c:v>
                </c:pt>
                <c:pt idx="126">
                  <c:v>10.1304</c:v>
                </c:pt>
                <c:pt idx="127">
                  <c:v>10.1534</c:v>
                </c:pt>
                <c:pt idx="128">
                  <c:v>10.1754</c:v>
                </c:pt>
                <c:pt idx="129">
                  <c:v>10.1966</c:v>
                </c:pt>
                <c:pt idx="130">
                  <c:v>10.216900000000001</c:v>
                </c:pt>
                <c:pt idx="131">
                  <c:v>10.2364</c:v>
                </c:pt>
                <c:pt idx="132">
                  <c:v>10.255100000000001</c:v>
                </c:pt>
                <c:pt idx="133">
                  <c:v>10.273</c:v>
                </c:pt>
                <c:pt idx="134">
                  <c:v>10.2902</c:v>
                </c:pt>
                <c:pt idx="135">
                  <c:v>10.306699999999999</c:v>
                </c:pt>
                <c:pt idx="136">
                  <c:v>10.3225</c:v>
                </c:pt>
                <c:pt idx="137">
                  <c:v>10.3376</c:v>
                </c:pt>
                <c:pt idx="138">
                  <c:v>10.3521</c:v>
                </c:pt>
                <c:pt idx="139">
                  <c:v>10.366</c:v>
                </c:pt>
                <c:pt idx="140">
                  <c:v>10.379300000000001</c:v>
                </c:pt>
                <c:pt idx="141">
                  <c:v>10.392099999999999</c:v>
                </c:pt>
                <c:pt idx="142">
                  <c:v>10.404299999999999</c:v>
                </c:pt>
                <c:pt idx="143">
                  <c:v>10.416</c:v>
                </c:pt>
                <c:pt idx="144">
                  <c:v>10.427199999999999</c:v>
                </c:pt>
                <c:pt idx="145">
                  <c:v>10.437900000000001</c:v>
                </c:pt>
                <c:pt idx="146">
                  <c:v>10.4482</c:v>
                </c:pt>
                <c:pt idx="147">
                  <c:v>10.458</c:v>
                </c:pt>
                <c:pt idx="148">
                  <c:v>10.4674</c:v>
                </c:pt>
                <c:pt idx="149">
                  <c:v>10.4764</c:v>
                </c:pt>
                <c:pt idx="150">
                  <c:v>10.484999999999999</c:v>
                </c:pt>
                <c:pt idx="151">
                  <c:v>10.4933</c:v>
                </c:pt>
                <c:pt idx="152">
                  <c:v>10.501200000000001</c:v>
                </c:pt>
                <c:pt idx="153">
                  <c:v>10.508699999999999</c:v>
                </c:pt>
                <c:pt idx="154">
                  <c:v>10.5159</c:v>
                </c:pt>
                <c:pt idx="155">
                  <c:v>10.5228</c:v>
                </c:pt>
                <c:pt idx="156">
                  <c:v>10.529400000000001</c:v>
                </c:pt>
                <c:pt idx="157">
                  <c:v>10.5357</c:v>
                </c:pt>
                <c:pt idx="158">
                  <c:v>10.5418</c:v>
                </c:pt>
                <c:pt idx="159">
                  <c:v>10.547499999999999</c:v>
                </c:pt>
                <c:pt idx="160">
                  <c:v>10.553100000000001</c:v>
                </c:pt>
                <c:pt idx="161">
                  <c:v>10.558400000000001</c:v>
                </c:pt>
                <c:pt idx="162">
                  <c:v>10.5634</c:v>
                </c:pt>
                <c:pt idx="163">
                  <c:v>10.568199999999999</c:v>
                </c:pt>
                <c:pt idx="164">
                  <c:v>10.572800000000001</c:v>
                </c:pt>
                <c:pt idx="165">
                  <c:v>10.577299999999999</c:v>
                </c:pt>
                <c:pt idx="166">
                  <c:v>10.5815</c:v>
                </c:pt>
                <c:pt idx="167">
                  <c:v>10.5855</c:v>
                </c:pt>
                <c:pt idx="168">
                  <c:v>10.589399999999999</c:v>
                </c:pt>
                <c:pt idx="169">
                  <c:v>10.593</c:v>
                </c:pt>
                <c:pt idx="170">
                  <c:v>10.5966</c:v>
                </c:pt>
                <c:pt idx="171">
                  <c:v>10.5999</c:v>
                </c:pt>
                <c:pt idx="172">
                  <c:v>10.6031</c:v>
                </c:pt>
                <c:pt idx="173">
                  <c:v>10.606199999999999</c:v>
                </c:pt>
                <c:pt idx="174">
                  <c:v>10.6091</c:v>
                </c:pt>
                <c:pt idx="175">
                  <c:v>10.6119</c:v>
                </c:pt>
                <c:pt idx="176">
                  <c:v>10.614599999999999</c:v>
                </c:pt>
                <c:pt idx="177">
                  <c:v>10.6172</c:v>
                </c:pt>
                <c:pt idx="178">
                  <c:v>10.6196</c:v>
                </c:pt>
                <c:pt idx="179">
                  <c:v>10.622</c:v>
                </c:pt>
                <c:pt idx="180">
                  <c:v>10.6242</c:v>
                </c:pt>
                <c:pt idx="181">
                  <c:v>10.626300000000001</c:v>
                </c:pt>
                <c:pt idx="182">
                  <c:v>10.628399999999999</c:v>
                </c:pt>
                <c:pt idx="183">
                  <c:v>10.6303</c:v>
                </c:pt>
                <c:pt idx="184">
                  <c:v>10.632199999999999</c:v>
                </c:pt>
                <c:pt idx="185">
                  <c:v>10.634</c:v>
                </c:pt>
                <c:pt idx="186">
                  <c:v>10.6357</c:v>
                </c:pt>
                <c:pt idx="187">
                  <c:v>10.6373</c:v>
                </c:pt>
                <c:pt idx="188">
                  <c:v>10.6388</c:v>
                </c:pt>
                <c:pt idx="189">
                  <c:v>10.6403</c:v>
                </c:pt>
                <c:pt idx="190">
                  <c:v>10.6417</c:v>
                </c:pt>
                <c:pt idx="191">
                  <c:v>10.6431</c:v>
                </c:pt>
                <c:pt idx="192">
                  <c:v>10.644399999999999</c:v>
                </c:pt>
                <c:pt idx="193">
                  <c:v>10.6456</c:v>
                </c:pt>
                <c:pt idx="194">
                  <c:v>10.646800000000001</c:v>
                </c:pt>
                <c:pt idx="195">
                  <c:v>10.6479</c:v>
                </c:pt>
                <c:pt idx="196">
                  <c:v>10.648999999999999</c:v>
                </c:pt>
                <c:pt idx="197">
                  <c:v>10.65</c:v>
                </c:pt>
                <c:pt idx="198">
                  <c:v>10.651</c:v>
                </c:pt>
                <c:pt idx="199">
                  <c:v>10.651899999999999</c:v>
                </c:pt>
                <c:pt idx="200">
                  <c:v>10.652799999999999</c:v>
                </c:pt>
                <c:pt idx="201">
                  <c:v>10.653700000000001</c:v>
                </c:pt>
                <c:pt idx="202">
                  <c:v>10.654500000000001</c:v>
                </c:pt>
                <c:pt idx="203">
                  <c:v>10.6553</c:v>
                </c:pt>
                <c:pt idx="204">
                  <c:v>10.656000000000001</c:v>
                </c:pt>
                <c:pt idx="205">
                  <c:v>10.656700000000001</c:v>
                </c:pt>
                <c:pt idx="206">
                  <c:v>10.657400000000001</c:v>
                </c:pt>
                <c:pt idx="207">
                  <c:v>10.657999999999999</c:v>
                </c:pt>
                <c:pt idx="208">
                  <c:v>10.6587</c:v>
                </c:pt>
                <c:pt idx="209">
                  <c:v>10.6593</c:v>
                </c:pt>
                <c:pt idx="210">
                  <c:v>10.659800000000001</c:v>
                </c:pt>
                <c:pt idx="211">
                  <c:v>10.660399999999999</c:v>
                </c:pt>
                <c:pt idx="212">
                  <c:v>10.6609</c:v>
                </c:pt>
                <c:pt idx="213">
                  <c:v>10.6614</c:v>
                </c:pt>
                <c:pt idx="214">
                  <c:v>10.661799999999999</c:v>
                </c:pt>
                <c:pt idx="215">
                  <c:v>10.6623</c:v>
                </c:pt>
                <c:pt idx="216">
                  <c:v>10.662699999999999</c:v>
                </c:pt>
                <c:pt idx="217">
                  <c:v>10.6631</c:v>
                </c:pt>
                <c:pt idx="218">
                  <c:v>10.663500000000001</c:v>
                </c:pt>
                <c:pt idx="219">
                  <c:v>10.6639</c:v>
                </c:pt>
                <c:pt idx="220">
                  <c:v>10.664199999999999</c:v>
                </c:pt>
                <c:pt idx="221">
                  <c:v>10.6645</c:v>
                </c:pt>
                <c:pt idx="222">
                  <c:v>10.664899999999999</c:v>
                </c:pt>
                <c:pt idx="223">
                  <c:v>10.6652</c:v>
                </c:pt>
                <c:pt idx="224">
                  <c:v>10.6655</c:v>
                </c:pt>
                <c:pt idx="225">
                  <c:v>10.665699999999999</c:v>
                </c:pt>
                <c:pt idx="226">
                  <c:v>10.666</c:v>
                </c:pt>
                <c:pt idx="227">
                  <c:v>10.6662</c:v>
                </c:pt>
                <c:pt idx="228">
                  <c:v>10.666499999999999</c:v>
                </c:pt>
                <c:pt idx="229">
                  <c:v>10.666700000000001</c:v>
                </c:pt>
                <c:pt idx="230">
                  <c:v>10.6669</c:v>
                </c:pt>
                <c:pt idx="231">
                  <c:v>10.6671</c:v>
                </c:pt>
                <c:pt idx="232">
                  <c:v>10.667299999999999</c:v>
                </c:pt>
                <c:pt idx="233">
                  <c:v>10.6675</c:v>
                </c:pt>
                <c:pt idx="234">
                  <c:v>10.6677</c:v>
                </c:pt>
                <c:pt idx="235">
                  <c:v>10.6678</c:v>
                </c:pt>
                <c:pt idx="236">
                  <c:v>10.667999999999999</c:v>
                </c:pt>
                <c:pt idx="237">
                  <c:v>10.668200000000001</c:v>
                </c:pt>
                <c:pt idx="238">
                  <c:v>10.6683</c:v>
                </c:pt>
                <c:pt idx="239">
                  <c:v>10.6684</c:v>
                </c:pt>
                <c:pt idx="240">
                  <c:v>10.6686</c:v>
                </c:pt>
                <c:pt idx="241">
                  <c:v>10.668699999999999</c:v>
                </c:pt>
                <c:pt idx="242">
                  <c:v>10.668799999999999</c:v>
                </c:pt>
                <c:pt idx="243">
                  <c:v>10.668900000000001</c:v>
                </c:pt>
                <c:pt idx="244">
                  <c:v>10.669</c:v>
                </c:pt>
                <c:pt idx="245">
                  <c:v>10.6691</c:v>
                </c:pt>
                <c:pt idx="246">
                  <c:v>10.6692</c:v>
                </c:pt>
                <c:pt idx="247">
                  <c:v>10.6693</c:v>
                </c:pt>
                <c:pt idx="248">
                  <c:v>10.6693</c:v>
                </c:pt>
                <c:pt idx="249">
                  <c:v>10.6694</c:v>
                </c:pt>
                <c:pt idx="250">
                  <c:v>10.669499999999999</c:v>
                </c:pt>
                <c:pt idx="251">
                  <c:v>10.669499999999999</c:v>
                </c:pt>
                <c:pt idx="252">
                  <c:v>10.669600000000001</c:v>
                </c:pt>
                <c:pt idx="253">
                  <c:v>10.669600000000001</c:v>
                </c:pt>
                <c:pt idx="254">
                  <c:v>10.669700000000001</c:v>
                </c:pt>
                <c:pt idx="255">
                  <c:v>10.669700000000001</c:v>
                </c:pt>
                <c:pt idx="256">
                  <c:v>10.669700000000001</c:v>
                </c:pt>
                <c:pt idx="257">
                  <c:v>10.6698</c:v>
                </c:pt>
                <c:pt idx="258">
                  <c:v>10.6698</c:v>
                </c:pt>
                <c:pt idx="259">
                  <c:v>10.6698</c:v>
                </c:pt>
                <c:pt idx="260">
                  <c:v>10.6698</c:v>
                </c:pt>
                <c:pt idx="261">
                  <c:v>10.6699</c:v>
                </c:pt>
                <c:pt idx="262">
                  <c:v>10.6699</c:v>
                </c:pt>
                <c:pt idx="263">
                  <c:v>10.6699</c:v>
                </c:pt>
                <c:pt idx="264">
                  <c:v>10.6699</c:v>
                </c:pt>
                <c:pt idx="265">
                  <c:v>10.6699</c:v>
                </c:pt>
                <c:pt idx="266">
                  <c:v>10.6698</c:v>
                </c:pt>
                <c:pt idx="267">
                  <c:v>10.6698</c:v>
                </c:pt>
                <c:pt idx="268">
                  <c:v>10.6698</c:v>
                </c:pt>
                <c:pt idx="269">
                  <c:v>10.6698</c:v>
                </c:pt>
                <c:pt idx="270">
                  <c:v>10.6698</c:v>
                </c:pt>
                <c:pt idx="271">
                  <c:v>10.669700000000001</c:v>
                </c:pt>
                <c:pt idx="272">
                  <c:v>10.669700000000001</c:v>
                </c:pt>
                <c:pt idx="273">
                  <c:v>10.669700000000001</c:v>
                </c:pt>
                <c:pt idx="274">
                  <c:v>10.669600000000001</c:v>
                </c:pt>
                <c:pt idx="275">
                  <c:v>10.669600000000001</c:v>
                </c:pt>
                <c:pt idx="276">
                  <c:v>10.669499999999999</c:v>
                </c:pt>
                <c:pt idx="277">
                  <c:v>10.6694</c:v>
                </c:pt>
                <c:pt idx="278">
                  <c:v>10.6694</c:v>
                </c:pt>
                <c:pt idx="279">
                  <c:v>10.6693</c:v>
                </c:pt>
                <c:pt idx="280">
                  <c:v>10.6692</c:v>
                </c:pt>
                <c:pt idx="281">
                  <c:v>10.6691</c:v>
                </c:pt>
                <c:pt idx="282">
                  <c:v>10.669</c:v>
                </c:pt>
                <c:pt idx="283">
                  <c:v>10.668900000000001</c:v>
                </c:pt>
                <c:pt idx="284">
                  <c:v>10.668799999999999</c:v>
                </c:pt>
                <c:pt idx="285">
                  <c:v>10.668699999999999</c:v>
                </c:pt>
                <c:pt idx="286">
                  <c:v>10.6686</c:v>
                </c:pt>
                <c:pt idx="287">
                  <c:v>10.6685</c:v>
                </c:pt>
                <c:pt idx="288">
                  <c:v>10.6684</c:v>
                </c:pt>
                <c:pt idx="289">
                  <c:v>10.668200000000001</c:v>
                </c:pt>
                <c:pt idx="290">
                  <c:v>10.668100000000001</c:v>
                </c:pt>
                <c:pt idx="291">
                  <c:v>10.667899999999999</c:v>
                </c:pt>
                <c:pt idx="292">
                  <c:v>10.6678</c:v>
                </c:pt>
                <c:pt idx="293">
                  <c:v>10.6676</c:v>
                </c:pt>
                <c:pt idx="294">
                  <c:v>10.667400000000001</c:v>
                </c:pt>
                <c:pt idx="295">
                  <c:v>10.667199999999999</c:v>
                </c:pt>
                <c:pt idx="296">
                  <c:v>10.667</c:v>
                </c:pt>
                <c:pt idx="297">
                  <c:v>10.6668</c:v>
                </c:pt>
                <c:pt idx="298">
                  <c:v>10.666600000000001</c:v>
                </c:pt>
                <c:pt idx="299">
                  <c:v>10.666399999999999</c:v>
                </c:pt>
                <c:pt idx="300">
                  <c:v>10.6661</c:v>
                </c:pt>
                <c:pt idx="301">
                  <c:v>10.665900000000001</c:v>
                </c:pt>
                <c:pt idx="302">
                  <c:v>10.6656</c:v>
                </c:pt>
                <c:pt idx="303">
                  <c:v>10.6653</c:v>
                </c:pt>
                <c:pt idx="304">
                  <c:v>10.664999999999999</c:v>
                </c:pt>
                <c:pt idx="305">
                  <c:v>10.6647</c:v>
                </c:pt>
                <c:pt idx="306">
                  <c:v>10.664400000000001</c:v>
                </c:pt>
                <c:pt idx="307">
                  <c:v>10.664</c:v>
                </c:pt>
                <c:pt idx="308">
                  <c:v>10.6637</c:v>
                </c:pt>
                <c:pt idx="309">
                  <c:v>10.6633</c:v>
                </c:pt>
                <c:pt idx="310">
                  <c:v>10.6629</c:v>
                </c:pt>
                <c:pt idx="311">
                  <c:v>10.6625</c:v>
                </c:pt>
                <c:pt idx="312">
                  <c:v>10.662000000000001</c:v>
                </c:pt>
                <c:pt idx="313">
                  <c:v>10.6616</c:v>
                </c:pt>
                <c:pt idx="314">
                  <c:v>10.661099999999999</c:v>
                </c:pt>
                <c:pt idx="315">
                  <c:v>10.660600000000001</c:v>
                </c:pt>
                <c:pt idx="316">
                  <c:v>10.6601</c:v>
                </c:pt>
                <c:pt idx="317">
                  <c:v>10.6595</c:v>
                </c:pt>
                <c:pt idx="318">
                  <c:v>10.659000000000001</c:v>
                </c:pt>
                <c:pt idx="319">
                  <c:v>10.6584</c:v>
                </c:pt>
                <c:pt idx="320">
                  <c:v>10.6577</c:v>
                </c:pt>
                <c:pt idx="321">
                  <c:v>10.6571</c:v>
                </c:pt>
                <c:pt idx="322">
                  <c:v>10.6564</c:v>
                </c:pt>
                <c:pt idx="323">
                  <c:v>10.6556</c:v>
                </c:pt>
                <c:pt idx="324">
                  <c:v>10.6549</c:v>
                </c:pt>
                <c:pt idx="325">
                  <c:v>10.6541</c:v>
                </c:pt>
                <c:pt idx="326">
                  <c:v>10.6533</c:v>
                </c:pt>
                <c:pt idx="327">
                  <c:v>10.6524</c:v>
                </c:pt>
                <c:pt idx="328">
                  <c:v>10.6515</c:v>
                </c:pt>
                <c:pt idx="329">
                  <c:v>10.650499999999999</c:v>
                </c:pt>
                <c:pt idx="330">
                  <c:v>10.6495</c:v>
                </c:pt>
                <c:pt idx="331">
                  <c:v>10.6485</c:v>
                </c:pt>
                <c:pt idx="332">
                  <c:v>10.647399999999999</c:v>
                </c:pt>
                <c:pt idx="333">
                  <c:v>10.6462</c:v>
                </c:pt>
                <c:pt idx="334">
                  <c:v>10.645</c:v>
                </c:pt>
                <c:pt idx="335">
                  <c:v>10.643700000000001</c:v>
                </c:pt>
                <c:pt idx="336">
                  <c:v>10.6424</c:v>
                </c:pt>
                <c:pt idx="337">
                  <c:v>10.641</c:v>
                </c:pt>
                <c:pt idx="338">
                  <c:v>10.6396</c:v>
                </c:pt>
                <c:pt idx="339">
                  <c:v>10.6381</c:v>
                </c:pt>
                <c:pt idx="340">
                  <c:v>10.6365</c:v>
                </c:pt>
                <c:pt idx="341">
                  <c:v>10.6348</c:v>
                </c:pt>
                <c:pt idx="342">
                  <c:v>10.633100000000001</c:v>
                </c:pt>
                <c:pt idx="343">
                  <c:v>10.6313</c:v>
                </c:pt>
                <c:pt idx="344">
                  <c:v>10.6294</c:v>
                </c:pt>
                <c:pt idx="345">
                  <c:v>10.6274</c:v>
                </c:pt>
                <c:pt idx="346">
                  <c:v>10.625299999999999</c:v>
                </c:pt>
                <c:pt idx="347">
                  <c:v>10.623100000000001</c:v>
                </c:pt>
                <c:pt idx="348">
                  <c:v>10.620799999999999</c:v>
                </c:pt>
                <c:pt idx="349">
                  <c:v>10.618399999999999</c:v>
                </c:pt>
                <c:pt idx="350">
                  <c:v>10.6159</c:v>
                </c:pt>
                <c:pt idx="351">
                  <c:v>10.613300000000001</c:v>
                </c:pt>
                <c:pt idx="352">
                  <c:v>10.6105</c:v>
                </c:pt>
                <c:pt idx="353">
                  <c:v>10.607699999999999</c:v>
                </c:pt>
                <c:pt idx="354">
                  <c:v>10.604699999999999</c:v>
                </c:pt>
                <c:pt idx="355">
                  <c:v>10.6015</c:v>
                </c:pt>
                <c:pt idx="356">
                  <c:v>10.5982</c:v>
                </c:pt>
                <c:pt idx="357">
                  <c:v>10.594799999999999</c:v>
                </c:pt>
                <c:pt idx="358">
                  <c:v>10.591200000000001</c:v>
                </c:pt>
                <c:pt idx="359">
                  <c:v>10.587400000000001</c:v>
                </c:pt>
                <c:pt idx="360">
                  <c:v>10.583500000000001</c:v>
                </c:pt>
                <c:pt idx="361">
                  <c:v>10.5794</c:v>
                </c:pt>
                <c:pt idx="362">
                  <c:v>10.575100000000001</c:v>
                </c:pt>
                <c:pt idx="363">
                  <c:v>10.570499999999999</c:v>
                </c:pt>
                <c:pt idx="364">
                  <c:v>10.565799999999999</c:v>
                </c:pt>
                <c:pt idx="365">
                  <c:v>10.5609</c:v>
                </c:pt>
                <c:pt idx="366">
                  <c:v>10.5557</c:v>
                </c:pt>
                <c:pt idx="367">
                  <c:v>10.5503</c:v>
                </c:pt>
                <c:pt idx="368">
                  <c:v>10.544700000000001</c:v>
                </c:pt>
                <c:pt idx="369">
                  <c:v>10.5388</c:v>
                </c:pt>
                <c:pt idx="370">
                  <c:v>10.5326</c:v>
                </c:pt>
                <c:pt idx="371">
                  <c:v>10.5261</c:v>
                </c:pt>
                <c:pt idx="372">
                  <c:v>10.519399999999999</c:v>
                </c:pt>
                <c:pt idx="373">
                  <c:v>10.5123</c:v>
                </c:pt>
                <c:pt idx="374">
                  <c:v>10.504899999999999</c:v>
                </c:pt>
                <c:pt idx="375">
                  <c:v>10.497199999999999</c:v>
                </c:pt>
                <c:pt idx="376">
                  <c:v>10.4892</c:v>
                </c:pt>
                <c:pt idx="377">
                  <c:v>10.480700000000001</c:v>
                </c:pt>
                <c:pt idx="378">
                  <c:v>10.4719</c:v>
                </c:pt>
                <c:pt idx="379">
                  <c:v>10.4627</c:v>
                </c:pt>
                <c:pt idx="380">
                  <c:v>10.453099999999999</c:v>
                </c:pt>
                <c:pt idx="381">
                  <c:v>10.443099999999999</c:v>
                </c:pt>
                <c:pt idx="382">
                  <c:v>10.432600000000001</c:v>
                </c:pt>
                <c:pt idx="383">
                  <c:v>10.4216</c:v>
                </c:pt>
                <c:pt idx="384">
                  <c:v>10.4102</c:v>
                </c:pt>
                <c:pt idx="385">
                  <c:v>10.398199999999999</c:v>
                </c:pt>
                <c:pt idx="386">
                  <c:v>10.3857</c:v>
                </c:pt>
                <c:pt idx="387">
                  <c:v>10.3727</c:v>
                </c:pt>
                <c:pt idx="388">
                  <c:v>10.3591</c:v>
                </c:pt>
                <c:pt idx="389">
                  <c:v>10.344900000000001</c:v>
                </c:pt>
                <c:pt idx="390">
                  <c:v>10.3301</c:v>
                </c:pt>
                <c:pt idx="391">
                  <c:v>10.3146</c:v>
                </c:pt>
                <c:pt idx="392">
                  <c:v>10.298500000000001</c:v>
                </c:pt>
                <c:pt idx="393">
                  <c:v>10.281599999999999</c:v>
                </c:pt>
                <c:pt idx="394">
                  <c:v>10.264099999999999</c:v>
                </c:pt>
                <c:pt idx="395">
                  <c:v>10.245799999999999</c:v>
                </c:pt>
                <c:pt idx="396">
                  <c:v>10.226699999999999</c:v>
                </c:pt>
                <c:pt idx="397">
                  <c:v>10.206799999999999</c:v>
                </c:pt>
                <c:pt idx="398">
                  <c:v>10.186</c:v>
                </c:pt>
                <c:pt idx="399">
                  <c:v>10.164400000000001</c:v>
                </c:pt>
                <c:pt idx="400">
                  <c:v>10.1419</c:v>
                </c:pt>
                <c:pt idx="401">
                  <c:v>10.118399999999999</c:v>
                </c:pt>
                <c:pt idx="402">
                  <c:v>10.093999999999999</c:v>
                </c:pt>
                <c:pt idx="403">
                  <c:v>10.0686</c:v>
                </c:pt>
                <c:pt idx="404">
                  <c:v>10.0421</c:v>
                </c:pt>
                <c:pt idx="405">
                  <c:v>10.0146</c:v>
                </c:pt>
                <c:pt idx="406">
                  <c:v>9.9859299999999998</c:v>
                </c:pt>
                <c:pt idx="407">
                  <c:v>9.9561299999999999</c:v>
                </c:pt>
                <c:pt idx="408">
                  <c:v>9.9251400000000007</c:v>
                </c:pt>
                <c:pt idx="409">
                  <c:v>9.8929200000000002</c:v>
                </c:pt>
                <c:pt idx="410">
                  <c:v>9.8594399999999993</c:v>
                </c:pt>
                <c:pt idx="411">
                  <c:v>9.8246599999999997</c:v>
                </c:pt>
                <c:pt idx="412">
                  <c:v>9.7885299999999997</c:v>
                </c:pt>
                <c:pt idx="413">
                  <c:v>9.7510200000000005</c:v>
                </c:pt>
                <c:pt idx="414">
                  <c:v>9.7120899999999999</c:v>
                </c:pt>
                <c:pt idx="415">
                  <c:v>9.6716899999999999</c:v>
                </c:pt>
                <c:pt idx="416">
                  <c:v>9.6297899999999998</c:v>
                </c:pt>
                <c:pt idx="417">
                  <c:v>9.5863399999999999</c:v>
                </c:pt>
                <c:pt idx="418">
                  <c:v>9.5413099999999993</c:v>
                </c:pt>
                <c:pt idx="419">
                  <c:v>9.4946400000000004</c:v>
                </c:pt>
                <c:pt idx="420">
                  <c:v>9.4463200000000001</c:v>
                </c:pt>
                <c:pt idx="421">
                  <c:v>9.3962800000000009</c:v>
                </c:pt>
                <c:pt idx="422">
                  <c:v>9.3444900000000004</c:v>
                </c:pt>
                <c:pt idx="423">
                  <c:v>9.2909199999999998</c:v>
                </c:pt>
                <c:pt idx="424">
                  <c:v>9.2355300000000007</c:v>
                </c:pt>
                <c:pt idx="425">
                  <c:v>9.1782699999999995</c:v>
                </c:pt>
                <c:pt idx="426">
                  <c:v>9.1191099999999992</c:v>
                </c:pt>
                <c:pt idx="427">
                  <c:v>9.0580099999999995</c:v>
                </c:pt>
                <c:pt idx="428">
                  <c:v>8.9949399999999997</c:v>
                </c:pt>
                <c:pt idx="429">
                  <c:v>8.9298699999999993</c:v>
                </c:pt>
                <c:pt idx="430">
                  <c:v>8.8627599999999997</c:v>
                </c:pt>
                <c:pt idx="431">
                  <c:v>8.7935800000000004</c:v>
                </c:pt>
                <c:pt idx="432">
                  <c:v>8.7223100000000002</c:v>
                </c:pt>
                <c:pt idx="433">
                  <c:v>8.6488999999999994</c:v>
                </c:pt>
                <c:pt idx="434">
                  <c:v>8.5733499999999996</c:v>
                </c:pt>
                <c:pt idx="435">
                  <c:v>8.4956200000000006</c:v>
                </c:pt>
                <c:pt idx="436">
                  <c:v>8.4156899999999997</c:v>
                </c:pt>
                <c:pt idx="437">
                  <c:v>8.3335399999999993</c:v>
                </c:pt>
                <c:pt idx="438">
                  <c:v>8.2491500000000002</c:v>
                </c:pt>
                <c:pt idx="439">
                  <c:v>8.1625099999999993</c:v>
                </c:pt>
                <c:pt idx="440">
                  <c:v>8.0736000000000008</c:v>
                </c:pt>
                <c:pt idx="441">
                  <c:v>7.9824099999999998</c:v>
                </c:pt>
                <c:pt idx="442">
                  <c:v>7.8889300000000002</c:v>
                </c:pt>
                <c:pt idx="443">
                  <c:v>7.7931600000000003</c:v>
                </c:pt>
                <c:pt idx="444">
                  <c:v>7.6950799999999999</c:v>
                </c:pt>
                <c:pt idx="445">
                  <c:v>7.5947100000000001</c:v>
                </c:pt>
                <c:pt idx="446">
                  <c:v>7.4920299999999997</c:v>
                </c:pt>
                <c:pt idx="447">
                  <c:v>7.38706</c:v>
                </c:pt>
                <c:pt idx="448">
                  <c:v>7.2797900000000002</c:v>
                </c:pt>
                <c:pt idx="449">
                  <c:v>7.1702300000000001</c:v>
                </c:pt>
                <c:pt idx="450">
                  <c:v>7.0584100000000003</c:v>
                </c:pt>
                <c:pt idx="451">
                  <c:v>6.9443099999999998</c:v>
                </c:pt>
                <c:pt idx="452">
                  <c:v>6.8279699999999997</c:v>
                </c:pt>
                <c:pt idx="453">
                  <c:v>6.7093999999999996</c:v>
                </c:pt>
                <c:pt idx="454">
                  <c:v>6.5886100000000001</c:v>
                </c:pt>
                <c:pt idx="455">
                  <c:v>6.46563</c:v>
                </c:pt>
                <c:pt idx="456">
                  <c:v>6.34049</c:v>
                </c:pt>
                <c:pt idx="457">
                  <c:v>6.2131999999999996</c:v>
                </c:pt>
                <c:pt idx="458">
                  <c:v>6.0837899999999996</c:v>
                </c:pt>
                <c:pt idx="459">
                  <c:v>5.9523000000000001</c:v>
                </c:pt>
                <c:pt idx="460">
                  <c:v>5.8187499999999996</c:v>
                </c:pt>
                <c:pt idx="461">
                  <c:v>5.6831699999999996</c:v>
                </c:pt>
                <c:pt idx="462">
                  <c:v>5.5455899999999998</c:v>
                </c:pt>
                <c:pt idx="463">
                  <c:v>5.4060600000000001</c:v>
                </c:pt>
                <c:pt idx="464">
                  <c:v>5.2646100000000002</c:v>
                </c:pt>
                <c:pt idx="465">
                  <c:v>5.1212600000000004</c:v>
                </c:pt>
                <c:pt idx="466">
                  <c:v>4.97607</c:v>
                </c:pt>
                <c:pt idx="467">
                  <c:v>4.8290699999999998</c:v>
                </c:pt>
                <c:pt idx="468">
                  <c:v>4.6802900000000003</c:v>
                </c:pt>
                <c:pt idx="469">
                  <c:v>4.5297799999999997</c:v>
                </c:pt>
                <c:pt idx="470">
                  <c:v>4.3775700000000004</c:v>
                </c:pt>
                <c:pt idx="471">
                  <c:v>4.2237200000000001</c:v>
                </c:pt>
                <c:pt idx="472">
                  <c:v>4.0682400000000003</c:v>
                </c:pt>
                <c:pt idx="473">
                  <c:v>3.9112</c:v>
                </c:pt>
                <c:pt idx="474">
                  <c:v>3.7526299999999999</c:v>
                </c:pt>
                <c:pt idx="475">
                  <c:v>3.5925600000000002</c:v>
                </c:pt>
                <c:pt idx="476">
                  <c:v>3.4310499999999999</c:v>
                </c:pt>
                <c:pt idx="477">
                  <c:v>3.2681300000000002</c:v>
                </c:pt>
                <c:pt idx="478">
                  <c:v>3.1038399999999999</c:v>
                </c:pt>
                <c:pt idx="479">
                  <c:v>2.9382199999999998</c:v>
                </c:pt>
                <c:pt idx="480">
                  <c:v>2.7713100000000002</c:v>
                </c:pt>
                <c:pt idx="481">
                  <c:v>2.6031499999999999</c:v>
                </c:pt>
                <c:pt idx="482">
                  <c:v>2.4337800000000001</c:v>
                </c:pt>
                <c:pt idx="483">
                  <c:v>2.2632400000000001</c:v>
                </c:pt>
                <c:pt idx="484">
                  <c:v>2.0915599999999999</c:v>
                </c:pt>
                <c:pt idx="485">
                  <c:v>1.9187799999999999</c:v>
                </c:pt>
                <c:pt idx="486">
                  <c:v>1.74495</c:v>
                </c:pt>
                <c:pt idx="487">
                  <c:v>1.57009</c:v>
                </c:pt>
                <c:pt idx="488">
                  <c:v>1.3942300000000001</c:v>
                </c:pt>
                <c:pt idx="489">
                  <c:v>1.2174199999999999</c:v>
                </c:pt>
                <c:pt idx="490">
                  <c:v>1.03969</c:v>
                </c:pt>
                <c:pt idx="491">
                  <c:v>0.86106199999999999</c:v>
                </c:pt>
                <c:pt idx="492">
                  <c:v>0.68157800000000002</c:v>
                </c:pt>
                <c:pt idx="493">
                  <c:v>0.50126700000000002</c:v>
                </c:pt>
                <c:pt idx="494">
                  <c:v>0.320158</c:v>
                </c:pt>
                <c:pt idx="495">
                  <c:v>0.13828099999999999</c:v>
                </c:pt>
                <c:pt idx="496">
                  <c:v>-4.4334699999999998E-2</c:v>
                </c:pt>
                <c:pt idx="497">
                  <c:v>-0.227662</c:v>
                </c:pt>
                <c:pt idx="498">
                  <c:v>-0.41167300000000001</c:v>
                </c:pt>
                <c:pt idx="499">
                  <c:v>-0.59634299999999996</c:v>
                </c:pt>
                <c:pt idx="500">
                  <c:v>-0.78164500000000003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BD-47B1-9F94-4F217EAC4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896815"/>
        <c:axId val="2021890575"/>
      </c:scatterChart>
      <c:valAx>
        <c:axId val="2021896815"/>
        <c:scaling>
          <c:logBase val="10"/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90575"/>
        <c:crosses val="autoZero"/>
        <c:crossBetween val="midCat"/>
        <c:majorUnit val="10"/>
      </c:valAx>
      <c:valAx>
        <c:axId val="20218905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  <a:r>
                  <a:rPr lang="en-US" baseline="0"/>
                  <a:t> </a:t>
                </a:r>
                <a:r>
                  <a:rPr lang="en-US"/>
                  <a:t>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968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54982140511309E-2"/>
          <c:y val="8.8895441649478019E-2"/>
          <c:w val="0.8782744431268753"/>
          <c:h val="0.71088150106293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'Combined Single Supply (BB+Sim)'!$B$1</c:f>
              <c:strCache>
                <c:ptCount val="1"/>
                <c:pt idx="0">
                  <c:v>Simulation (Single Supply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7"/>
            <c:marker>
              <c:symbol val="diamond"/>
              <c:size val="3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D1-4E44-9432-3CD408A634B3}"/>
              </c:ext>
            </c:extLst>
          </c:dPt>
          <c:xVal>
            <c:numRef>
              <c:f>'Combined Single Supply (BB+Sim)'!$A$2:$A$502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Single Supply (BB+Sim)'!$B$2:$B$502</c:f>
              <c:numCache>
                <c:formatCode>General</c:formatCode>
                <c:ptCount val="501"/>
                <c:pt idx="0">
                  <c:v>-5.8578200000000002</c:v>
                </c:pt>
                <c:pt idx="1">
                  <c:v>-5.6623700000000001</c:v>
                </c:pt>
                <c:pt idx="2">
                  <c:v>-5.4671200000000004</c:v>
                </c:pt>
                <c:pt idx="3">
                  <c:v>-5.2721</c:v>
                </c:pt>
                <c:pt idx="4">
                  <c:v>-5.0773000000000001</c:v>
                </c:pt>
                <c:pt idx="5">
                  <c:v>-4.8827499999999997</c:v>
                </c:pt>
                <c:pt idx="6">
                  <c:v>-4.6884399999999999</c:v>
                </c:pt>
                <c:pt idx="7">
                  <c:v>-4.4943900000000001</c:v>
                </c:pt>
                <c:pt idx="8">
                  <c:v>-4.3006200000000003</c:v>
                </c:pt>
                <c:pt idx="9">
                  <c:v>-4.1071299999999997</c:v>
                </c:pt>
                <c:pt idx="10">
                  <c:v>-3.9139300000000001</c:v>
                </c:pt>
                <c:pt idx="11">
                  <c:v>-3.72105</c:v>
                </c:pt>
                <c:pt idx="12">
                  <c:v>-3.5284800000000001</c:v>
                </c:pt>
                <c:pt idx="13">
                  <c:v>-3.3362599999999998</c:v>
                </c:pt>
                <c:pt idx="14">
                  <c:v>-3.14438</c:v>
                </c:pt>
                <c:pt idx="15">
                  <c:v>-2.9528699999999999</c:v>
                </c:pt>
                <c:pt idx="16">
                  <c:v>-2.7617500000000001</c:v>
                </c:pt>
                <c:pt idx="17">
                  <c:v>-2.5710199999999999</c:v>
                </c:pt>
                <c:pt idx="18">
                  <c:v>-2.3807100000000001</c:v>
                </c:pt>
                <c:pt idx="19">
                  <c:v>-2.1908300000000001</c:v>
                </c:pt>
                <c:pt idx="20">
                  <c:v>-2.0014099999999999</c:v>
                </c:pt>
                <c:pt idx="21">
                  <c:v>-1.8124499999999999</c:v>
                </c:pt>
                <c:pt idx="22">
                  <c:v>-1.62399</c:v>
                </c:pt>
                <c:pt idx="23">
                  <c:v>-1.43604</c:v>
                </c:pt>
                <c:pt idx="24">
                  <c:v>-1.2486200000000001</c:v>
                </c:pt>
                <c:pt idx="25">
                  <c:v>-1.06175</c:v>
                </c:pt>
                <c:pt idx="26">
                  <c:v>-0.87545700000000004</c:v>
                </c:pt>
                <c:pt idx="27">
                  <c:v>-0.68976599999999999</c:v>
                </c:pt>
                <c:pt idx="28">
                  <c:v>-0.50469900000000001</c:v>
                </c:pt>
                <c:pt idx="29">
                  <c:v>-0.32028099999999998</c:v>
                </c:pt>
                <c:pt idx="30">
                  <c:v>-0.13653799999999999</c:v>
                </c:pt>
                <c:pt idx="31">
                  <c:v>4.6503900000000001E-2</c:v>
                </c:pt>
                <c:pt idx="32">
                  <c:v>0.22881799999999999</c:v>
                </c:pt>
                <c:pt idx="33">
                  <c:v>0.41037400000000002</c:v>
                </c:pt>
                <c:pt idx="34">
                  <c:v>0.59114599999999995</c:v>
                </c:pt>
                <c:pt idx="35">
                  <c:v>0.77110199999999995</c:v>
                </c:pt>
                <c:pt idx="36">
                  <c:v>0.95021199999999995</c:v>
                </c:pt>
                <c:pt idx="37">
                  <c:v>1.1284400000000001</c:v>
                </c:pt>
                <c:pt idx="38">
                  <c:v>1.3057700000000001</c:v>
                </c:pt>
                <c:pt idx="39">
                  <c:v>1.4821500000000001</c:v>
                </c:pt>
                <c:pt idx="40">
                  <c:v>1.6575500000000001</c:v>
                </c:pt>
                <c:pt idx="41">
                  <c:v>1.83195</c:v>
                </c:pt>
                <c:pt idx="42">
                  <c:v>2.00529</c:v>
                </c:pt>
                <c:pt idx="43">
                  <c:v>2.1775600000000002</c:v>
                </c:pt>
                <c:pt idx="44">
                  <c:v>2.3487100000000001</c:v>
                </c:pt>
                <c:pt idx="45">
                  <c:v>2.5186999999999999</c:v>
                </c:pt>
                <c:pt idx="46">
                  <c:v>2.6875</c:v>
                </c:pt>
                <c:pt idx="47">
                  <c:v>2.8550599999999999</c:v>
                </c:pt>
                <c:pt idx="48">
                  <c:v>3.02136</c:v>
                </c:pt>
                <c:pt idx="49">
                  <c:v>3.18634</c:v>
                </c:pt>
                <c:pt idx="50">
                  <c:v>3.34998</c:v>
                </c:pt>
                <c:pt idx="51">
                  <c:v>3.5122200000000001</c:v>
                </c:pt>
                <c:pt idx="52">
                  <c:v>3.6730299999999998</c:v>
                </c:pt>
                <c:pt idx="53">
                  <c:v>3.8323800000000001</c:v>
                </c:pt>
                <c:pt idx="54">
                  <c:v>3.9902099999999998</c:v>
                </c:pt>
                <c:pt idx="55">
                  <c:v>4.1464800000000004</c:v>
                </c:pt>
                <c:pt idx="56">
                  <c:v>4.3011699999999999</c:v>
                </c:pt>
                <c:pt idx="57">
                  <c:v>4.4542200000000003</c:v>
                </c:pt>
                <c:pt idx="58">
                  <c:v>4.6055900000000003</c:v>
                </c:pt>
                <c:pt idx="59">
                  <c:v>4.7552500000000002</c:v>
                </c:pt>
                <c:pt idx="60">
                  <c:v>4.9031599999999997</c:v>
                </c:pt>
                <c:pt idx="61">
                  <c:v>5.0492699999999999</c:v>
                </c:pt>
                <c:pt idx="62">
                  <c:v>5.1935500000000001</c:v>
                </c:pt>
                <c:pt idx="63">
                  <c:v>5.33596</c:v>
                </c:pt>
                <c:pt idx="64">
                  <c:v>5.4764600000000003</c:v>
                </c:pt>
                <c:pt idx="65">
                  <c:v>5.6150200000000003</c:v>
                </c:pt>
                <c:pt idx="66">
                  <c:v>5.7516100000000003</c:v>
                </c:pt>
                <c:pt idx="67">
                  <c:v>5.8861800000000004</c:v>
                </c:pt>
                <c:pt idx="68">
                  <c:v>6.0187099999999996</c:v>
                </c:pt>
                <c:pt idx="69">
                  <c:v>6.1491600000000002</c:v>
                </c:pt>
                <c:pt idx="70">
                  <c:v>6.27752</c:v>
                </c:pt>
                <c:pt idx="71">
                  <c:v>6.40374</c:v>
                </c:pt>
                <c:pt idx="72">
                  <c:v>6.5278</c:v>
                </c:pt>
                <c:pt idx="73">
                  <c:v>6.6496899999999997</c:v>
                </c:pt>
                <c:pt idx="74">
                  <c:v>6.7693700000000003</c:v>
                </c:pt>
                <c:pt idx="75">
                  <c:v>6.8868200000000002</c:v>
                </c:pt>
                <c:pt idx="76">
                  <c:v>7.00204</c:v>
                </c:pt>
                <c:pt idx="77">
                  <c:v>7.1150000000000002</c:v>
                </c:pt>
                <c:pt idx="78">
                  <c:v>7.2256900000000002</c:v>
                </c:pt>
                <c:pt idx="79">
                  <c:v>7.3341000000000003</c:v>
                </c:pt>
                <c:pt idx="80">
                  <c:v>7.4402200000000001</c:v>
                </c:pt>
                <c:pt idx="81">
                  <c:v>7.5440399999999999</c:v>
                </c:pt>
                <c:pt idx="82">
                  <c:v>7.6455599999999997</c:v>
                </c:pt>
                <c:pt idx="83">
                  <c:v>7.7447800000000004</c:v>
                </c:pt>
                <c:pt idx="84">
                  <c:v>7.8416899999999998</c:v>
                </c:pt>
                <c:pt idx="85">
                  <c:v>7.9363099999999998</c:v>
                </c:pt>
                <c:pt idx="86">
                  <c:v>8.0286399999999993</c:v>
                </c:pt>
                <c:pt idx="87">
                  <c:v>8.1186799999999995</c:v>
                </c:pt>
                <c:pt idx="88">
                  <c:v>8.2064500000000002</c:v>
                </c:pt>
                <c:pt idx="89">
                  <c:v>8.2919499999999999</c:v>
                </c:pt>
                <c:pt idx="90">
                  <c:v>8.3752099999999992</c:v>
                </c:pt>
                <c:pt idx="91">
                  <c:v>8.4562399999999993</c:v>
                </c:pt>
                <c:pt idx="92">
                  <c:v>8.5350699999999993</c:v>
                </c:pt>
                <c:pt idx="93">
                  <c:v>8.6117000000000008</c:v>
                </c:pt>
                <c:pt idx="94">
                  <c:v>8.6861700000000006</c:v>
                </c:pt>
                <c:pt idx="95">
                  <c:v>8.7584999999999997</c:v>
                </c:pt>
                <c:pt idx="96">
                  <c:v>8.8287099999999992</c:v>
                </c:pt>
                <c:pt idx="97">
                  <c:v>8.8968500000000006</c:v>
                </c:pt>
                <c:pt idx="98">
                  <c:v>8.9629300000000001</c:v>
                </c:pt>
                <c:pt idx="99">
                  <c:v>9.02698</c:v>
                </c:pt>
                <c:pt idx="100">
                  <c:v>9.0890599999999999</c:v>
                </c:pt>
                <c:pt idx="101">
                  <c:v>9.1491699999999998</c:v>
                </c:pt>
                <c:pt idx="102">
                  <c:v>9.2073699999999992</c:v>
                </c:pt>
                <c:pt idx="103">
                  <c:v>9.2636900000000004</c:v>
                </c:pt>
                <c:pt idx="104">
                  <c:v>9.3181600000000007</c:v>
                </c:pt>
                <c:pt idx="105">
                  <c:v>9.3708200000000001</c:v>
                </c:pt>
                <c:pt idx="106">
                  <c:v>9.4217200000000005</c:v>
                </c:pt>
                <c:pt idx="107">
                  <c:v>9.4708900000000007</c:v>
                </c:pt>
                <c:pt idx="108">
                  <c:v>9.5183800000000005</c:v>
                </c:pt>
                <c:pt idx="109">
                  <c:v>9.5642099999999992</c:v>
                </c:pt>
                <c:pt idx="110">
                  <c:v>9.6084399999999999</c:v>
                </c:pt>
                <c:pt idx="111">
                  <c:v>9.6511099999999992</c:v>
                </c:pt>
                <c:pt idx="112">
                  <c:v>9.6922499999999996</c:v>
                </c:pt>
                <c:pt idx="113">
                  <c:v>9.7318999999999996</c:v>
                </c:pt>
                <c:pt idx="114">
                  <c:v>9.7701100000000007</c:v>
                </c:pt>
                <c:pt idx="115">
                  <c:v>9.8069199999999999</c:v>
                </c:pt>
                <c:pt idx="116">
                  <c:v>9.8423599999999993</c:v>
                </c:pt>
                <c:pt idx="117">
                  <c:v>9.8764900000000004</c:v>
                </c:pt>
                <c:pt idx="118">
                  <c:v>9.9093199999999992</c:v>
                </c:pt>
                <c:pt idx="119">
                  <c:v>9.9409200000000002</c:v>
                </c:pt>
                <c:pt idx="120">
                  <c:v>9.9712999999999994</c:v>
                </c:pt>
                <c:pt idx="121">
                  <c:v>10.000500000000001</c:v>
                </c:pt>
                <c:pt idx="122">
                  <c:v>10.028600000000001</c:v>
                </c:pt>
                <c:pt idx="123">
                  <c:v>10.0556</c:v>
                </c:pt>
                <c:pt idx="124">
                  <c:v>10.0815</c:v>
                </c:pt>
                <c:pt idx="125">
                  <c:v>10.1065</c:v>
                </c:pt>
                <c:pt idx="126">
                  <c:v>10.1304</c:v>
                </c:pt>
                <c:pt idx="127">
                  <c:v>10.1534</c:v>
                </c:pt>
                <c:pt idx="128">
                  <c:v>10.1754</c:v>
                </c:pt>
                <c:pt idx="129">
                  <c:v>10.1966</c:v>
                </c:pt>
                <c:pt idx="130">
                  <c:v>10.216900000000001</c:v>
                </c:pt>
                <c:pt idx="131">
                  <c:v>10.2364</c:v>
                </c:pt>
                <c:pt idx="132">
                  <c:v>10.255100000000001</c:v>
                </c:pt>
                <c:pt idx="133">
                  <c:v>10.273</c:v>
                </c:pt>
                <c:pt idx="134">
                  <c:v>10.2902</c:v>
                </c:pt>
                <c:pt idx="135">
                  <c:v>10.306699999999999</c:v>
                </c:pt>
                <c:pt idx="136">
                  <c:v>10.3225</c:v>
                </c:pt>
                <c:pt idx="137">
                  <c:v>10.3376</c:v>
                </c:pt>
                <c:pt idx="138">
                  <c:v>10.3521</c:v>
                </c:pt>
                <c:pt idx="139">
                  <c:v>10.366</c:v>
                </c:pt>
                <c:pt idx="140">
                  <c:v>10.379300000000001</c:v>
                </c:pt>
                <c:pt idx="141">
                  <c:v>10.392099999999999</c:v>
                </c:pt>
                <c:pt idx="142">
                  <c:v>10.404299999999999</c:v>
                </c:pt>
                <c:pt idx="143">
                  <c:v>10.416</c:v>
                </c:pt>
                <c:pt idx="144">
                  <c:v>10.427199999999999</c:v>
                </c:pt>
                <c:pt idx="145">
                  <c:v>10.437900000000001</c:v>
                </c:pt>
                <c:pt idx="146">
                  <c:v>10.4482</c:v>
                </c:pt>
                <c:pt idx="147">
                  <c:v>10.458</c:v>
                </c:pt>
                <c:pt idx="148">
                  <c:v>10.4674</c:v>
                </c:pt>
                <c:pt idx="149">
                  <c:v>10.4764</c:v>
                </c:pt>
                <c:pt idx="150">
                  <c:v>10.484999999999999</c:v>
                </c:pt>
                <c:pt idx="151">
                  <c:v>10.4933</c:v>
                </c:pt>
                <c:pt idx="152">
                  <c:v>10.501200000000001</c:v>
                </c:pt>
                <c:pt idx="153">
                  <c:v>10.508699999999999</c:v>
                </c:pt>
                <c:pt idx="154">
                  <c:v>10.5159</c:v>
                </c:pt>
                <c:pt idx="155">
                  <c:v>10.5228</c:v>
                </c:pt>
                <c:pt idx="156">
                  <c:v>10.529400000000001</c:v>
                </c:pt>
                <c:pt idx="157">
                  <c:v>10.5357</c:v>
                </c:pt>
                <c:pt idx="158">
                  <c:v>10.5418</c:v>
                </c:pt>
                <c:pt idx="159">
                  <c:v>10.547499999999999</c:v>
                </c:pt>
                <c:pt idx="160">
                  <c:v>10.553100000000001</c:v>
                </c:pt>
                <c:pt idx="161">
                  <c:v>10.558400000000001</c:v>
                </c:pt>
                <c:pt idx="162">
                  <c:v>10.5634</c:v>
                </c:pt>
                <c:pt idx="163">
                  <c:v>10.568199999999999</c:v>
                </c:pt>
                <c:pt idx="164">
                  <c:v>10.572800000000001</c:v>
                </c:pt>
                <c:pt idx="165">
                  <c:v>10.577299999999999</c:v>
                </c:pt>
                <c:pt idx="166">
                  <c:v>10.5815</c:v>
                </c:pt>
                <c:pt idx="167">
                  <c:v>10.5855</c:v>
                </c:pt>
                <c:pt idx="168">
                  <c:v>10.589399999999999</c:v>
                </c:pt>
                <c:pt idx="169">
                  <c:v>10.593</c:v>
                </c:pt>
                <c:pt idx="170">
                  <c:v>10.5966</c:v>
                </c:pt>
                <c:pt idx="171">
                  <c:v>10.5999</c:v>
                </c:pt>
                <c:pt idx="172">
                  <c:v>10.6031</c:v>
                </c:pt>
                <c:pt idx="173">
                  <c:v>10.606199999999999</c:v>
                </c:pt>
                <c:pt idx="174">
                  <c:v>10.6091</c:v>
                </c:pt>
                <c:pt idx="175">
                  <c:v>10.6119</c:v>
                </c:pt>
                <c:pt idx="176">
                  <c:v>10.614599999999999</c:v>
                </c:pt>
                <c:pt idx="177">
                  <c:v>10.6172</c:v>
                </c:pt>
                <c:pt idx="178">
                  <c:v>10.6196</c:v>
                </c:pt>
                <c:pt idx="179">
                  <c:v>10.622</c:v>
                </c:pt>
                <c:pt idx="180">
                  <c:v>10.6242</c:v>
                </c:pt>
                <c:pt idx="181">
                  <c:v>10.626300000000001</c:v>
                </c:pt>
                <c:pt idx="182">
                  <c:v>10.628399999999999</c:v>
                </c:pt>
                <c:pt idx="183">
                  <c:v>10.6303</c:v>
                </c:pt>
                <c:pt idx="184">
                  <c:v>10.632199999999999</c:v>
                </c:pt>
                <c:pt idx="185">
                  <c:v>10.634</c:v>
                </c:pt>
                <c:pt idx="186">
                  <c:v>10.6357</c:v>
                </c:pt>
                <c:pt idx="187">
                  <c:v>10.6373</c:v>
                </c:pt>
                <c:pt idx="188">
                  <c:v>10.6388</c:v>
                </c:pt>
                <c:pt idx="189">
                  <c:v>10.6403</c:v>
                </c:pt>
                <c:pt idx="190">
                  <c:v>10.6417</c:v>
                </c:pt>
                <c:pt idx="191">
                  <c:v>10.6431</c:v>
                </c:pt>
                <c:pt idx="192">
                  <c:v>10.644399999999999</c:v>
                </c:pt>
                <c:pt idx="193">
                  <c:v>10.6456</c:v>
                </c:pt>
                <c:pt idx="194">
                  <c:v>10.646800000000001</c:v>
                </c:pt>
                <c:pt idx="195">
                  <c:v>10.6479</c:v>
                </c:pt>
                <c:pt idx="196">
                  <c:v>10.648999999999999</c:v>
                </c:pt>
                <c:pt idx="197">
                  <c:v>10.65</c:v>
                </c:pt>
                <c:pt idx="198">
                  <c:v>10.651</c:v>
                </c:pt>
                <c:pt idx="199">
                  <c:v>10.651899999999999</c:v>
                </c:pt>
                <c:pt idx="200">
                  <c:v>10.652799999999999</c:v>
                </c:pt>
                <c:pt idx="201">
                  <c:v>10.653700000000001</c:v>
                </c:pt>
                <c:pt idx="202">
                  <c:v>10.654500000000001</c:v>
                </c:pt>
                <c:pt idx="203">
                  <c:v>10.6553</c:v>
                </c:pt>
                <c:pt idx="204">
                  <c:v>10.656000000000001</c:v>
                </c:pt>
                <c:pt idx="205">
                  <c:v>10.656700000000001</c:v>
                </c:pt>
                <c:pt idx="206">
                  <c:v>10.657400000000001</c:v>
                </c:pt>
                <c:pt idx="207">
                  <c:v>10.657999999999999</c:v>
                </c:pt>
                <c:pt idx="208">
                  <c:v>10.6587</c:v>
                </c:pt>
                <c:pt idx="209">
                  <c:v>10.6593</c:v>
                </c:pt>
                <c:pt idx="210">
                  <c:v>10.659800000000001</c:v>
                </c:pt>
                <c:pt idx="211">
                  <c:v>10.660399999999999</c:v>
                </c:pt>
                <c:pt idx="212">
                  <c:v>10.6609</c:v>
                </c:pt>
                <c:pt idx="213">
                  <c:v>10.6614</c:v>
                </c:pt>
                <c:pt idx="214">
                  <c:v>10.661799999999999</c:v>
                </c:pt>
                <c:pt idx="215">
                  <c:v>10.6623</c:v>
                </c:pt>
                <c:pt idx="216">
                  <c:v>10.662699999999999</c:v>
                </c:pt>
                <c:pt idx="217">
                  <c:v>10.6631</c:v>
                </c:pt>
                <c:pt idx="218">
                  <c:v>10.663500000000001</c:v>
                </c:pt>
                <c:pt idx="219">
                  <c:v>10.6639</c:v>
                </c:pt>
                <c:pt idx="220">
                  <c:v>10.664199999999999</c:v>
                </c:pt>
                <c:pt idx="221">
                  <c:v>10.6645</c:v>
                </c:pt>
                <c:pt idx="222">
                  <c:v>10.664899999999999</c:v>
                </c:pt>
                <c:pt idx="223">
                  <c:v>10.6652</c:v>
                </c:pt>
                <c:pt idx="224">
                  <c:v>10.6655</c:v>
                </c:pt>
                <c:pt idx="225">
                  <c:v>10.665699999999999</c:v>
                </c:pt>
                <c:pt idx="226">
                  <c:v>10.666</c:v>
                </c:pt>
                <c:pt idx="227">
                  <c:v>10.6662</c:v>
                </c:pt>
                <c:pt idx="228">
                  <c:v>10.666499999999999</c:v>
                </c:pt>
                <c:pt idx="229">
                  <c:v>10.666700000000001</c:v>
                </c:pt>
                <c:pt idx="230">
                  <c:v>10.6669</c:v>
                </c:pt>
                <c:pt idx="231">
                  <c:v>10.6671</c:v>
                </c:pt>
                <c:pt idx="232">
                  <c:v>10.667299999999999</c:v>
                </c:pt>
                <c:pt idx="233">
                  <c:v>10.6675</c:v>
                </c:pt>
                <c:pt idx="234">
                  <c:v>10.6677</c:v>
                </c:pt>
                <c:pt idx="235">
                  <c:v>10.6678</c:v>
                </c:pt>
                <c:pt idx="236">
                  <c:v>10.667999999999999</c:v>
                </c:pt>
                <c:pt idx="237">
                  <c:v>10.668200000000001</c:v>
                </c:pt>
                <c:pt idx="238">
                  <c:v>10.6683</c:v>
                </c:pt>
                <c:pt idx="239">
                  <c:v>10.6684</c:v>
                </c:pt>
                <c:pt idx="240">
                  <c:v>10.6686</c:v>
                </c:pt>
                <c:pt idx="241">
                  <c:v>10.668699999999999</c:v>
                </c:pt>
                <c:pt idx="242">
                  <c:v>10.668799999999999</c:v>
                </c:pt>
                <c:pt idx="243">
                  <c:v>10.668900000000001</c:v>
                </c:pt>
                <c:pt idx="244">
                  <c:v>10.669</c:v>
                </c:pt>
                <c:pt idx="245">
                  <c:v>10.6691</c:v>
                </c:pt>
                <c:pt idx="246">
                  <c:v>10.6692</c:v>
                </c:pt>
                <c:pt idx="247">
                  <c:v>10.6693</c:v>
                </c:pt>
                <c:pt idx="248">
                  <c:v>10.6693</c:v>
                </c:pt>
                <c:pt idx="249">
                  <c:v>10.6694</c:v>
                </c:pt>
                <c:pt idx="250">
                  <c:v>10.669499999999999</c:v>
                </c:pt>
                <c:pt idx="251">
                  <c:v>10.669499999999999</c:v>
                </c:pt>
                <c:pt idx="252">
                  <c:v>10.669600000000001</c:v>
                </c:pt>
                <c:pt idx="253">
                  <c:v>10.669600000000001</c:v>
                </c:pt>
                <c:pt idx="254">
                  <c:v>10.669700000000001</c:v>
                </c:pt>
                <c:pt idx="255">
                  <c:v>10.669700000000001</c:v>
                </c:pt>
                <c:pt idx="256">
                  <c:v>10.669700000000001</c:v>
                </c:pt>
                <c:pt idx="257">
                  <c:v>10.6698</c:v>
                </c:pt>
                <c:pt idx="258">
                  <c:v>10.6698</c:v>
                </c:pt>
                <c:pt idx="259">
                  <c:v>10.6698</c:v>
                </c:pt>
                <c:pt idx="260">
                  <c:v>10.6698</c:v>
                </c:pt>
                <c:pt idx="261">
                  <c:v>10.6699</c:v>
                </c:pt>
                <c:pt idx="262">
                  <c:v>10.6699</c:v>
                </c:pt>
                <c:pt idx="263">
                  <c:v>10.6699</c:v>
                </c:pt>
                <c:pt idx="264">
                  <c:v>10.6699</c:v>
                </c:pt>
                <c:pt idx="265">
                  <c:v>10.6699</c:v>
                </c:pt>
                <c:pt idx="266">
                  <c:v>10.6698</c:v>
                </c:pt>
                <c:pt idx="267">
                  <c:v>10.6698</c:v>
                </c:pt>
                <c:pt idx="268">
                  <c:v>10.6698</c:v>
                </c:pt>
                <c:pt idx="269">
                  <c:v>10.6698</c:v>
                </c:pt>
                <c:pt idx="270">
                  <c:v>10.6698</c:v>
                </c:pt>
                <c:pt idx="271">
                  <c:v>10.669700000000001</c:v>
                </c:pt>
                <c:pt idx="272">
                  <c:v>10.669700000000001</c:v>
                </c:pt>
                <c:pt idx="273">
                  <c:v>10.669700000000001</c:v>
                </c:pt>
                <c:pt idx="274">
                  <c:v>10.669600000000001</c:v>
                </c:pt>
                <c:pt idx="275">
                  <c:v>10.669600000000001</c:v>
                </c:pt>
                <c:pt idx="276">
                  <c:v>10.669499999999999</c:v>
                </c:pt>
                <c:pt idx="277">
                  <c:v>10.6694</c:v>
                </c:pt>
                <c:pt idx="278">
                  <c:v>10.6694</c:v>
                </c:pt>
                <c:pt idx="279">
                  <c:v>10.6693</c:v>
                </c:pt>
                <c:pt idx="280">
                  <c:v>10.6692</c:v>
                </c:pt>
                <c:pt idx="281">
                  <c:v>10.6691</c:v>
                </c:pt>
                <c:pt idx="282">
                  <c:v>10.669</c:v>
                </c:pt>
                <c:pt idx="283">
                  <c:v>10.668900000000001</c:v>
                </c:pt>
                <c:pt idx="284">
                  <c:v>10.668799999999999</c:v>
                </c:pt>
                <c:pt idx="285">
                  <c:v>10.668699999999999</c:v>
                </c:pt>
                <c:pt idx="286">
                  <c:v>10.6686</c:v>
                </c:pt>
                <c:pt idx="287">
                  <c:v>10.6685</c:v>
                </c:pt>
                <c:pt idx="288">
                  <c:v>10.6684</c:v>
                </c:pt>
                <c:pt idx="289">
                  <c:v>10.668200000000001</c:v>
                </c:pt>
                <c:pt idx="290">
                  <c:v>10.668100000000001</c:v>
                </c:pt>
                <c:pt idx="291">
                  <c:v>10.667899999999999</c:v>
                </c:pt>
                <c:pt idx="292">
                  <c:v>10.6678</c:v>
                </c:pt>
                <c:pt idx="293">
                  <c:v>10.6676</c:v>
                </c:pt>
                <c:pt idx="294">
                  <c:v>10.667400000000001</c:v>
                </c:pt>
                <c:pt idx="295">
                  <c:v>10.667199999999999</c:v>
                </c:pt>
                <c:pt idx="296">
                  <c:v>10.667</c:v>
                </c:pt>
                <c:pt idx="297">
                  <c:v>10.6668</c:v>
                </c:pt>
                <c:pt idx="298">
                  <c:v>10.666600000000001</c:v>
                </c:pt>
                <c:pt idx="299">
                  <c:v>10.666399999999999</c:v>
                </c:pt>
                <c:pt idx="300">
                  <c:v>10.6661</c:v>
                </c:pt>
                <c:pt idx="301">
                  <c:v>10.665900000000001</c:v>
                </c:pt>
                <c:pt idx="302">
                  <c:v>10.6656</c:v>
                </c:pt>
                <c:pt idx="303">
                  <c:v>10.6653</c:v>
                </c:pt>
                <c:pt idx="304">
                  <c:v>10.664999999999999</c:v>
                </c:pt>
                <c:pt idx="305">
                  <c:v>10.6647</c:v>
                </c:pt>
                <c:pt idx="306">
                  <c:v>10.664400000000001</c:v>
                </c:pt>
                <c:pt idx="307">
                  <c:v>10.664</c:v>
                </c:pt>
                <c:pt idx="308">
                  <c:v>10.6637</c:v>
                </c:pt>
                <c:pt idx="309">
                  <c:v>10.6633</c:v>
                </c:pt>
                <c:pt idx="310">
                  <c:v>10.6629</c:v>
                </c:pt>
                <c:pt idx="311">
                  <c:v>10.6625</c:v>
                </c:pt>
                <c:pt idx="312">
                  <c:v>10.662000000000001</c:v>
                </c:pt>
                <c:pt idx="313">
                  <c:v>10.6616</c:v>
                </c:pt>
                <c:pt idx="314">
                  <c:v>10.661099999999999</c:v>
                </c:pt>
                <c:pt idx="315">
                  <c:v>10.660600000000001</c:v>
                </c:pt>
                <c:pt idx="316">
                  <c:v>10.6601</c:v>
                </c:pt>
                <c:pt idx="317">
                  <c:v>10.6595</c:v>
                </c:pt>
                <c:pt idx="318">
                  <c:v>10.659000000000001</c:v>
                </c:pt>
                <c:pt idx="319">
                  <c:v>10.6584</c:v>
                </c:pt>
                <c:pt idx="320">
                  <c:v>10.6577</c:v>
                </c:pt>
                <c:pt idx="321">
                  <c:v>10.6571</c:v>
                </c:pt>
                <c:pt idx="322">
                  <c:v>10.6564</c:v>
                </c:pt>
                <c:pt idx="323">
                  <c:v>10.6556</c:v>
                </c:pt>
                <c:pt idx="324">
                  <c:v>10.6549</c:v>
                </c:pt>
                <c:pt idx="325">
                  <c:v>10.6541</c:v>
                </c:pt>
                <c:pt idx="326">
                  <c:v>10.6533</c:v>
                </c:pt>
                <c:pt idx="327">
                  <c:v>10.6524</c:v>
                </c:pt>
                <c:pt idx="328">
                  <c:v>10.6515</c:v>
                </c:pt>
                <c:pt idx="329">
                  <c:v>10.650499999999999</c:v>
                </c:pt>
                <c:pt idx="330">
                  <c:v>10.6495</c:v>
                </c:pt>
                <c:pt idx="331">
                  <c:v>10.6485</c:v>
                </c:pt>
                <c:pt idx="332">
                  <c:v>10.647399999999999</c:v>
                </c:pt>
                <c:pt idx="333">
                  <c:v>10.6462</c:v>
                </c:pt>
                <c:pt idx="334">
                  <c:v>10.645</c:v>
                </c:pt>
                <c:pt idx="335">
                  <c:v>10.643700000000001</c:v>
                </c:pt>
                <c:pt idx="336">
                  <c:v>10.6424</c:v>
                </c:pt>
                <c:pt idx="337">
                  <c:v>10.641</c:v>
                </c:pt>
                <c:pt idx="338">
                  <c:v>10.6396</c:v>
                </c:pt>
                <c:pt idx="339">
                  <c:v>10.6381</c:v>
                </c:pt>
                <c:pt idx="340">
                  <c:v>10.6365</c:v>
                </c:pt>
                <c:pt idx="341">
                  <c:v>10.6348</c:v>
                </c:pt>
                <c:pt idx="342">
                  <c:v>10.633100000000001</c:v>
                </c:pt>
                <c:pt idx="343">
                  <c:v>10.6313</c:v>
                </c:pt>
                <c:pt idx="344">
                  <c:v>10.6294</c:v>
                </c:pt>
                <c:pt idx="345">
                  <c:v>10.6274</c:v>
                </c:pt>
                <c:pt idx="346">
                  <c:v>10.625299999999999</c:v>
                </c:pt>
                <c:pt idx="347">
                  <c:v>10.623100000000001</c:v>
                </c:pt>
                <c:pt idx="348">
                  <c:v>10.620799999999999</c:v>
                </c:pt>
                <c:pt idx="349">
                  <c:v>10.618399999999999</c:v>
                </c:pt>
                <c:pt idx="350">
                  <c:v>10.6159</c:v>
                </c:pt>
                <c:pt idx="351">
                  <c:v>10.613300000000001</c:v>
                </c:pt>
                <c:pt idx="352">
                  <c:v>10.6105</c:v>
                </c:pt>
                <c:pt idx="353">
                  <c:v>10.607699999999999</c:v>
                </c:pt>
                <c:pt idx="354">
                  <c:v>10.604699999999999</c:v>
                </c:pt>
                <c:pt idx="355">
                  <c:v>10.6015</c:v>
                </c:pt>
                <c:pt idx="356">
                  <c:v>10.5982</c:v>
                </c:pt>
                <c:pt idx="357">
                  <c:v>10.594799999999999</c:v>
                </c:pt>
                <c:pt idx="358">
                  <c:v>10.591200000000001</c:v>
                </c:pt>
                <c:pt idx="359">
                  <c:v>10.587400000000001</c:v>
                </c:pt>
                <c:pt idx="360">
                  <c:v>10.583500000000001</c:v>
                </c:pt>
                <c:pt idx="361">
                  <c:v>10.5794</c:v>
                </c:pt>
                <c:pt idx="362">
                  <c:v>10.575100000000001</c:v>
                </c:pt>
                <c:pt idx="363">
                  <c:v>10.570499999999999</c:v>
                </c:pt>
                <c:pt idx="364">
                  <c:v>10.565799999999999</c:v>
                </c:pt>
                <c:pt idx="365">
                  <c:v>10.5609</c:v>
                </c:pt>
                <c:pt idx="366">
                  <c:v>10.5557</c:v>
                </c:pt>
                <c:pt idx="367">
                  <c:v>10.5503</c:v>
                </c:pt>
                <c:pt idx="368">
                  <c:v>10.544700000000001</c:v>
                </c:pt>
                <c:pt idx="369">
                  <c:v>10.5388</c:v>
                </c:pt>
                <c:pt idx="370">
                  <c:v>10.5326</c:v>
                </c:pt>
                <c:pt idx="371">
                  <c:v>10.5261</c:v>
                </c:pt>
                <c:pt idx="372">
                  <c:v>10.519399999999999</c:v>
                </c:pt>
                <c:pt idx="373">
                  <c:v>10.5123</c:v>
                </c:pt>
                <c:pt idx="374">
                  <c:v>10.504899999999999</c:v>
                </c:pt>
                <c:pt idx="375">
                  <c:v>10.497199999999999</c:v>
                </c:pt>
                <c:pt idx="376">
                  <c:v>10.4892</c:v>
                </c:pt>
                <c:pt idx="377">
                  <c:v>10.480700000000001</c:v>
                </c:pt>
                <c:pt idx="378">
                  <c:v>10.4719</c:v>
                </c:pt>
                <c:pt idx="379">
                  <c:v>10.4627</c:v>
                </c:pt>
                <c:pt idx="380">
                  <c:v>10.453099999999999</c:v>
                </c:pt>
                <c:pt idx="381">
                  <c:v>10.443099999999999</c:v>
                </c:pt>
                <c:pt idx="382">
                  <c:v>10.432600000000001</c:v>
                </c:pt>
                <c:pt idx="383">
                  <c:v>10.4216</c:v>
                </c:pt>
                <c:pt idx="384">
                  <c:v>10.4102</c:v>
                </c:pt>
                <c:pt idx="385">
                  <c:v>10.398199999999999</c:v>
                </c:pt>
                <c:pt idx="386">
                  <c:v>10.3857</c:v>
                </c:pt>
                <c:pt idx="387">
                  <c:v>10.3727</c:v>
                </c:pt>
                <c:pt idx="388">
                  <c:v>10.3591</c:v>
                </c:pt>
                <c:pt idx="389">
                  <c:v>10.344900000000001</c:v>
                </c:pt>
                <c:pt idx="390">
                  <c:v>10.3301</c:v>
                </c:pt>
                <c:pt idx="391">
                  <c:v>10.3146</c:v>
                </c:pt>
                <c:pt idx="392">
                  <c:v>10.298500000000001</c:v>
                </c:pt>
                <c:pt idx="393">
                  <c:v>10.281599999999999</c:v>
                </c:pt>
                <c:pt idx="394">
                  <c:v>10.264099999999999</c:v>
                </c:pt>
                <c:pt idx="395">
                  <c:v>10.245799999999999</c:v>
                </c:pt>
                <c:pt idx="396">
                  <c:v>10.226699999999999</c:v>
                </c:pt>
                <c:pt idx="397">
                  <c:v>10.206799999999999</c:v>
                </c:pt>
                <c:pt idx="398">
                  <c:v>10.186</c:v>
                </c:pt>
                <c:pt idx="399">
                  <c:v>10.164400000000001</c:v>
                </c:pt>
                <c:pt idx="400">
                  <c:v>10.1419</c:v>
                </c:pt>
                <c:pt idx="401">
                  <c:v>10.118399999999999</c:v>
                </c:pt>
                <c:pt idx="402">
                  <c:v>10.093999999999999</c:v>
                </c:pt>
                <c:pt idx="403">
                  <c:v>10.0686</c:v>
                </c:pt>
                <c:pt idx="404">
                  <c:v>10.0421</c:v>
                </c:pt>
                <c:pt idx="405">
                  <c:v>10.0146</c:v>
                </c:pt>
                <c:pt idx="406">
                  <c:v>9.9859299999999998</c:v>
                </c:pt>
                <c:pt idx="407">
                  <c:v>9.9561299999999999</c:v>
                </c:pt>
                <c:pt idx="408">
                  <c:v>9.9251400000000007</c:v>
                </c:pt>
                <c:pt idx="409">
                  <c:v>9.8929200000000002</c:v>
                </c:pt>
                <c:pt idx="410">
                  <c:v>9.8594399999999993</c:v>
                </c:pt>
                <c:pt idx="411">
                  <c:v>9.8246599999999997</c:v>
                </c:pt>
                <c:pt idx="412">
                  <c:v>9.7885299999999997</c:v>
                </c:pt>
                <c:pt idx="413">
                  <c:v>9.7510200000000005</c:v>
                </c:pt>
                <c:pt idx="414">
                  <c:v>9.7120899999999999</c:v>
                </c:pt>
                <c:pt idx="415">
                  <c:v>9.6716899999999999</c:v>
                </c:pt>
                <c:pt idx="416">
                  <c:v>9.6297899999999998</c:v>
                </c:pt>
                <c:pt idx="417">
                  <c:v>9.5863399999999999</c:v>
                </c:pt>
                <c:pt idx="418">
                  <c:v>9.5413099999999993</c:v>
                </c:pt>
                <c:pt idx="419">
                  <c:v>9.4946400000000004</c:v>
                </c:pt>
                <c:pt idx="420">
                  <c:v>9.4463200000000001</c:v>
                </c:pt>
                <c:pt idx="421">
                  <c:v>9.3962800000000009</c:v>
                </c:pt>
                <c:pt idx="422">
                  <c:v>9.3444900000000004</c:v>
                </c:pt>
                <c:pt idx="423">
                  <c:v>9.2909199999999998</c:v>
                </c:pt>
                <c:pt idx="424">
                  <c:v>9.2355300000000007</c:v>
                </c:pt>
                <c:pt idx="425">
                  <c:v>9.1782699999999995</c:v>
                </c:pt>
                <c:pt idx="426">
                  <c:v>9.1191099999999992</c:v>
                </c:pt>
                <c:pt idx="427">
                  <c:v>9.0580099999999995</c:v>
                </c:pt>
                <c:pt idx="428">
                  <c:v>8.9949399999999997</c:v>
                </c:pt>
                <c:pt idx="429">
                  <c:v>8.9298699999999993</c:v>
                </c:pt>
                <c:pt idx="430">
                  <c:v>8.8627599999999997</c:v>
                </c:pt>
                <c:pt idx="431">
                  <c:v>8.7935800000000004</c:v>
                </c:pt>
                <c:pt idx="432">
                  <c:v>8.7223100000000002</c:v>
                </c:pt>
                <c:pt idx="433">
                  <c:v>8.6488999999999994</c:v>
                </c:pt>
                <c:pt idx="434">
                  <c:v>8.5733499999999996</c:v>
                </c:pt>
                <c:pt idx="435">
                  <c:v>8.4956200000000006</c:v>
                </c:pt>
                <c:pt idx="436">
                  <c:v>8.4156899999999997</c:v>
                </c:pt>
                <c:pt idx="437">
                  <c:v>8.3335399999999993</c:v>
                </c:pt>
                <c:pt idx="438">
                  <c:v>8.2491500000000002</c:v>
                </c:pt>
                <c:pt idx="439">
                  <c:v>8.1625099999999993</c:v>
                </c:pt>
                <c:pt idx="440">
                  <c:v>8.0736000000000008</c:v>
                </c:pt>
                <c:pt idx="441">
                  <c:v>7.9824099999999998</c:v>
                </c:pt>
                <c:pt idx="442">
                  <c:v>7.8889300000000002</c:v>
                </c:pt>
                <c:pt idx="443">
                  <c:v>7.7931600000000003</c:v>
                </c:pt>
                <c:pt idx="444">
                  <c:v>7.6950799999999999</c:v>
                </c:pt>
                <c:pt idx="445">
                  <c:v>7.5947100000000001</c:v>
                </c:pt>
                <c:pt idx="446">
                  <c:v>7.4920299999999997</c:v>
                </c:pt>
                <c:pt idx="447">
                  <c:v>7.38706</c:v>
                </c:pt>
                <c:pt idx="448">
                  <c:v>7.2797900000000002</c:v>
                </c:pt>
                <c:pt idx="449">
                  <c:v>7.1702300000000001</c:v>
                </c:pt>
                <c:pt idx="450">
                  <c:v>7.0584100000000003</c:v>
                </c:pt>
                <c:pt idx="451">
                  <c:v>6.9443099999999998</c:v>
                </c:pt>
                <c:pt idx="452">
                  <c:v>6.8279699999999997</c:v>
                </c:pt>
                <c:pt idx="453">
                  <c:v>6.7093999999999996</c:v>
                </c:pt>
                <c:pt idx="454">
                  <c:v>6.5886100000000001</c:v>
                </c:pt>
                <c:pt idx="455">
                  <c:v>6.46563</c:v>
                </c:pt>
                <c:pt idx="456">
                  <c:v>6.34049</c:v>
                </c:pt>
                <c:pt idx="457">
                  <c:v>6.2131999999999996</c:v>
                </c:pt>
                <c:pt idx="458">
                  <c:v>6.0837899999999996</c:v>
                </c:pt>
                <c:pt idx="459">
                  <c:v>5.9523000000000001</c:v>
                </c:pt>
                <c:pt idx="460">
                  <c:v>5.8187499999999996</c:v>
                </c:pt>
                <c:pt idx="461">
                  <c:v>5.6831699999999996</c:v>
                </c:pt>
                <c:pt idx="462">
                  <c:v>5.5455899999999998</c:v>
                </c:pt>
                <c:pt idx="463">
                  <c:v>5.4060600000000001</c:v>
                </c:pt>
                <c:pt idx="464">
                  <c:v>5.2646100000000002</c:v>
                </c:pt>
                <c:pt idx="465">
                  <c:v>5.1212600000000004</c:v>
                </c:pt>
                <c:pt idx="466">
                  <c:v>4.97607</c:v>
                </c:pt>
                <c:pt idx="467">
                  <c:v>4.8290699999999998</c:v>
                </c:pt>
                <c:pt idx="468">
                  <c:v>4.6802900000000003</c:v>
                </c:pt>
                <c:pt idx="469">
                  <c:v>4.5297799999999997</c:v>
                </c:pt>
                <c:pt idx="470">
                  <c:v>4.3775700000000004</c:v>
                </c:pt>
                <c:pt idx="471">
                  <c:v>4.2237200000000001</c:v>
                </c:pt>
                <c:pt idx="472">
                  <c:v>4.0682400000000003</c:v>
                </c:pt>
                <c:pt idx="473">
                  <c:v>3.9112</c:v>
                </c:pt>
                <c:pt idx="474">
                  <c:v>3.7526299999999999</c:v>
                </c:pt>
                <c:pt idx="475">
                  <c:v>3.5925600000000002</c:v>
                </c:pt>
                <c:pt idx="476">
                  <c:v>3.4310499999999999</c:v>
                </c:pt>
                <c:pt idx="477">
                  <c:v>3.2681300000000002</c:v>
                </c:pt>
                <c:pt idx="478">
                  <c:v>3.1038399999999999</c:v>
                </c:pt>
                <c:pt idx="479">
                  <c:v>2.9382199999999998</c:v>
                </c:pt>
                <c:pt idx="480">
                  <c:v>2.7713100000000002</c:v>
                </c:pt>
                <c:pt idx="481">
                  <c:v>2.6031499999999999</c:v>
                </c:pt>
                <c:pt idx="482">
                  <c:v>2.4337800000000001</c:v>
                </c:pt>
                <c:pt idx="483">
                  <c:v>2.2632400000000001</c:v>
                </c:pt>
                <c:pt idx="484">
                  <c:v>2.0915599999999999</c:v>
                </c:pt>
                <c:pt idx="485">
                  <c:v>1.9187799999999999</c:v>
                </c:pt>
                <c:pt idx="486">
                  <c:v>1.74495</c:v>
                </c:pt>
                <c:pt idx="487">
                  <c:v>1.57009</c:v>
                </c:pt>
                <c:pt idx="488">
                  <c:v>1.3942300000000001</c:v>
                </c:pt>
                <c:pt idx="489">
                  <c:v>1.2174199999999999</c:v>
                </c:pt>
                <c:pt idx="490">
                  <c:v>1.03969</c:v>
                </c:pt>
                <c:pt idx="491">
                  <c:v>0.86106199999999999</c:v>
                </c:pt>
                <c:pt idx="492">
                  <c:v>0.68157800000000002</c:v>
                </c:pt>
                <c:pt idx="493">
                  <c:v>0.50126700000000002</c:v>
                </c:pt>
                <c:pt idx="494">
                  <c:v>0.320158</c:v>
                </c:pt>
                <c:pt idx="495">
                  <c:v>0.13828099999999999</c:v>
                </c:pt>
                <c:pt idx="496">
                  <c:v>-4.4334699999999998E-2</c:v>
                </c:pt>
                <c:pt idx="497">
                  <c:v>-0.227662</c:v>
                </c:pt>
                <c:pt idx="498">
                  <c:v>-0.41167300000000001</c:v>
                </c:pt>
                <c:pt idx="499">
                  <c:v>-0.59634299999999996</c:v>
                </c:pt>
                <c:pt idx="500">
                  <c:v>-0.78164500000000003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D1-4E44-9432-3CD408A634B3}"/>
            </c:ext>
          </c:extLst>
        </c:ser>
        <c:ser>
          <c:idx val="1"/>
          <c:order val="1"/>
          <c:tx>
            <c:strRef>
              <c:f>'Combined Single Supply (BB+Sim)'!$Q$1</c:f>
              <c:strCache>
                <c:ptCount val="1"/>
                <c:pt idx="0">
                  <c:v>Measurement (Single Supply 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rgbClr val="FF0000"/>
                </a:solidFill>
              </a:ln>
              <a:effectLst/>
            </c:spPr>
          </c:marker>
          <c:dPt>
            <c:idx val="8"/>
            <c:marker>
              <c:symbol val="diamond"/>
              <c:size val="10"/>
              <c:spPr>
                <a:solidFill>
                  <a:srgbClr val="FF0000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DD1-4E44-9432-3CD408A634B3}"/>
              </c:ext>
            </c:extLst>
          </c:dPt>
          <c:dLbls>
            <c:dLbl>
              <c:idx val="8"/>
              <c:layout>
                <c:manualLayout>
                  <c:x val="-0.1369944844040159"/>
                  <c:y val="-9.31766694357998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7B050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2C086B-E353-4DBF-9188-37E9121BCBF3}" type="CELLREF">
                      <a:rPr lang="en-US" baseline="0">
                        <a:solidFill>
                          <a:srgbClr val="7B0505"/>
                        </a:solidFill>
                      </a:rPr>
                      <a:pPr>
                        <a:defRPr>
                          <a:solidFill>
                            <a:srgbClr val="7B0505"/>
                          </a:solidFill>
                        </a:defRPr>
                      </a:pPr>
                      <a:t>[CELLREF]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7B050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918557765636706"/>
                      <c:h val="4.2724776636276753E-2"/>
                    </c:manualLayout>
                  </c15:layout>
                  <c15:dlblFieldTable>
                    <c15:dlblFTEntry>
                      <c15:txfldGUID>{8A2C086B-E353-4DBF-9188-37E9121BCBF3}</c15:txfldGUID>
                      <c15:f>'Combined Single Supply (BB+Sim)'!$W$28</c15:f>
                      <c15:dlblFieldTableCache>
                        <c:ptCount val="1"/>
                        <c:pt idx="0">
                          <c:v>440 Hz (Single Supply), 10.78 dB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DD1-4E44-9432-3CD408A634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'Combined Single Supply (BB+Sim)'!$M$2:$M$23</c:f>
              <c:numCache>
                <c:formatCode>0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440</c:v>
                </c:pt>
                <c:pt idx="9">
                  <c:v>500</c:v>
                </c:pt>
                <c:pt idx="10">
                  <c:v>1000</c:v>
                </c:pt>
                <c:pt idx="11">
                  <c:v>3000</c:v>
                </c:pt>
                <c:pt idx="12">
                  <c:v>5000</c:v>
                </c:pt>
                <c:pt idx="13">
                  <c:v>10000</c:v>
                </c:pt>
                <c:pt idx="14">
                  <c:v>20000</c:v>
                </c:pt>
                <c:pt idx="15">
                  <c:v>30000</c:v>
                </c:pt>
                <c:pt idx="16">
                  <c:v>50000</c:v>
                </c:pt>
                <c:pt idx="17">
                  <c:v>100000</c:v>
                </c:pt>
                <c:pt idx="18">
                  <c:v>200000</c:v>
                </c:pt>
                <c:pt idx="19">
                  <c:v>300000</c:v>
                </c:pt>
                <c:pt idx="20">
                  <c:v>500000</c:v>
                </c:pt>
                <c:pt idx="21">
                  <c:v>1000000</c:v>
                </c:pt>
              </c:numCache>
            </c:numRef>
          </c:xVal>
          <c:yVal>
            <c:numRef>
              <c:f>'Combined Single Supply (BB+Sim)'!$Q$2:$Q$23</c:f>
              <c:numCache>
                <c:formatCode>General</c:formatCode>
                <c:ptCount val="22"/>
                <c:pt idx="0">
                  <c:v>-5.179373013265395</c:v>
                </c:pt>
                <c:pt idx="1">
                  <c:v>3.5463270016997499</c:v>
                </c:pt>
                <c:pt idx="2">
                  <c:v>6.6815104141703703</c:v>
                </c:pt>
                <c:pt idx="3">
                  <c:v>9.2017583084176415</c:v>
                </c:pt>
                <c:pt idx="4">
                  <c:v>10.513075986702194</c:v>
                </c:pt>
                <c:pt idx="5">
                  <c:v>10.752040042020878</c:v>
                </c:pt>
                <c:pt idx="6">
                  <c:v>10.752040042020878</c:v>
                </c:pt>
                <c:pt idx="7">
                  <c:v>10.806157909539378</c:v>
                </c:pt>
                <c:pt idx="8">
                  <c:v>10.785383229370138</c:v>
                </c:pt>
                <c:pt idx="9">
                  <c:v>10.806157909539378</c:v>
                </c:pt>
                <c:pt idx="10">
                  <c:v>10.806157909539378</c:v>
                </c:pt>
                <c:pt idx="11">
                  <c:v>10.711460318170865</c:v>
                </c:pt>
                <c:pt idx="12">
                  <c:v>10.530260598708633</c:v>
                </c:pt>
                <c:pt idx="13">
                  <c:v>10.214988643670219</c:v>
                </c:pt>
                <c:pt idx="14">
                  <c:v>8.9326386514352425</c:v>
                </c:pt>
                <c:pt idx="15">
                  <c:v>7.4276196030513937</c:v>
                </c:pt>
                <c:pt idx="16">
                  <c:v>4.6908604048912412</c:v>
                </c:pt>
                <c:pt idx="17">
                  <c:v>-0.41458969717488081</c:v>
                </c:pt>
                <c:pt idx="18">
                  <c:v>-5.5200397992410029</c:v>
                </c:pt>
                <c:pt idx="19">
                  <c:v>-7.8298450424259016</c:v>
                </c:pt>
                <c:pt idx="20">
                  <c:v>-10.482356347917721</c:v>
                </c:pt>
                <c:pt idx="21">
                  <c:v>-16.604978379506754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D1-4E44-9432-3CD408A63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896815"/>
        <c:axId val="2021890575"/>
      </c:scatterChart>
      <c:valAx>
        <c:axId val="2021896815"/>
        <c:scaling>
          <c:logBase val="10"/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Frequency (Hz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46514313013446862"/>
              <c:y val="0.85033083208863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90575"/>
        <c:crosses val="autoZero"/>
        <c:crossBetween val="midCat"/>
        <c:majorUnit val="10"/>
      </c:valAx>
      <c:valAx>
        <c:axId val="20218905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Gain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968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3358658072564886"/>
          <c:y val="0.91209290563234469"/>
          <c:w val="0.57542733179194849"/>
          <c:h val="7.8497906192902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Simuated Gain</a:t>
            </a:r>
          </a:p>
        </c:rich>
      </c:tx>
      <c:layout>
        <c:manualLayout>
          <c:xMode val="edge"/>
          <c:yMode val="edge"/>
          <c:x val="0.4079456071967148"/>
          <c:y val="1.9672131147540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86003055588207E-2"/>
          <c:y val="0.10131650135256989"/>
          <c:w val="0.86115877306381483"/>
          <c:h val="0.69237718594463338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'final-simulation ( Proteus)'!$B$1</c:f>
              <c:strCache>
                <c:ptCount val="1"/>
                <c:pt idx="0">
                  <c:v>Stage 1 Simulation (TL071)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'final-simulation ( Proteus)'!$A$2:$A$502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'final-simulation ( Proteus)'!$B$2:$B$502</c:f>
              <c:numCache>
                <c:formatCode>General</c:formatCode>
                <c:ptCount val="501"/>
                <c:pt idx="0">
                  <c:v>-5.8582400000000003</c:v>
                </c:pt>
                <c:pt idx="1">
                  <c:v>-5.6627900000000002</c:v>
                </c:pt>
                <c:pt idx="2">
                  <c:v>-5.4675500000000001</c:v>
                </c:pt>
                <c:pt idx="3">
                  <c:v>-5.2725299999999997</c:v>
                </c:pt>
                <c:pt idx="4">
                  <c:v>-5.0777400000000004</c:v>
                </c:pt>
                <c:pt idx="5">
                  <c:v>-4.8831899999999999</c:v>
                </c:pt>
                <c:pt idx="6">
                  <c:v>-4.6888899999999998</c:v>
                </c:pt>
                <c:pt idx="7">
                  <c:v>-4.4948499999999996</c:v>
                </c:pt>
                <c:pt idx="8">
                  <c:v>-4.3010700000000002</c:v>
                </c:pt>
                <c:pt idx="9">
                  <c:v>-4.1075900000000001</c:v>
                </c:pt>
                <c:pt idx="10">
                  <c:v>-3.9144000000000001</c:v>
                </c:pt>
                <c:pt idx="11">
                  <c:v>-3.7215199999999999</c:v>
                </c:pt>
                <c:pt idx="12">
                  <c:v>-3.5289600000000001</c:v>
                </c:pt>
                <c:pt idx="13">
                  <c:v>-3.3367399999999998</c:v>
                </c:pt>
                <c:pt idx="14">
                  <c:v>-3.1448700000000001</c:v>
                </c:pt>
                <c:pt idx="15">
                  <c:v>-2.9533700000000001</c:v>
                </c:pt>
                <c:pt idx="16">
                  <c:v>-2.7622499999999999</c:v>
                </c:pt>
                <c:pt idx="17">
                  <c:v>-2.5715300000000001</c:v>
                </c:pt>
                <c:pt idx="18">
                  <c:v>-2.3812199999999999</c:v>
                </c:pt>
                <c:pt idx="19">
                  <c:v>-2.1913499999999999</c:v>
                </c:pt>
                <c:pt idx="20">
                  <c:v>-2.0019300000000002</c:v>
                </c:pt>
                <c:pt idx="21">
                  <c:v>-1.8129900000000001</c:v>
                </c:pt>
                <c:pt idx="22">
                  <c:v>-1.62453</c:v>
                </c:pt>
                <c:pt idx="23">
                  <c:v>-1.43658</c:v>
                </c:pt>
                <c:pt idx="24">
                  <c:v>-1.2491699999999999</c:v>
                </c:pt>
                <c:pt idx="25">
                  <c:v>-1.0623100000000001</c:v>
                </c:pt>
                <c:pt idx="26">
                  <c:v>-0.87602999999999998</c:v>
                </c:pt>
                <c:pt idx="27">
                  <c:v>-0.69034799999999996</c:v>
                </c:pt>
                <c:pt idx="28">
                  <c:v>-0.50529000000000002</c:v>
                </c:pt>
                <c:pt idx="29">
                  <c:v>-0.32088100000000003</c:v>
                </c:pt>
                <c:pt idx="30">
                  <c:v>-0.13714799999999999</c:v>
                </c:pt>
                <c:pt idx="31">
                  <c:v>4.58847E-2</c:v>
                </c:pt>
                <c:pt idx="32">
                  <c:v>0.228188</c:v>
                </c:pt>
                <c:pt idx="33">
                  <c:v>0.40973500000000002</c:v>
                </c:pt>
                <c:pt idx="34">
                  <c:v>0.59049499999999999</c:v>
                </c:pt>
                <c:pt idx="35">
                  <c:v>0.77044000000000001</c:v>
                </c:pt>
                <c:pt idx="36">
                  <c:v>0.94953900000000002</c:v>
                </c:pt>
                <c:pt idx="37">
                  <c:v>1.1277600000000001</c:v>
                </c:pt>
                <c:pt idx="38">
                  <c:v>1.30507</c:v>
                </c:pt>
                <c:pt idx="39">
                  <c:v>1.4814400000000001</c:v>
                </c:pt>
                <c:pt idx="40">
                  <c:v>1.65683</c:v>
                </c:pt>
                <c:pt idx="41">
                  <c:v>1.83121</c:v>
                </c:pt>
                <c:pt idx="42">
                  <c:v>2.0045500000000001</c:v>
                </c:pt>
                <c:pt idx="43">
                  <c:v>2.1768000000000001</c:v>
                </c:pt>
                <c:pt idx="44">
                  <c:v>2.3479299999999999</c:v>
                </c:pt>
                <c:pt idx="45">
                  <c:v>2.5179100000000001</c:v>
                </c:pt>
                <c:pt idx="46">
                  <c:v>2.68669</c:v>
                </c:pt>
                <c:pt idx="47">
                  <c:v>2.85425</c:v>
                </c:pt>
                <c:pt idx="48">
                  <c:v>3.0205299999999999</c:v>
                </c:pt>
                <c:pt idx="49">
                  <c:v>3.1855000000000002</c:v>
                </c:pt>
                <c:pt idx="50">
                  <c:v>3.34911</c:v>
                </c:pt>
                <c:pt idx="51">
                  <c:v>3.5113400000000001</c:v>
                </c:pt>
                <c:pt idx="52">
                  <c:v>3.6721400000000002</c:v>
                </c:pt>
                <c:pt idx="53">
                  <c:v>3.8314699999999999</c:v>
                </c:pt>
                <c:pt idx="54">
                  <c:v>3.9892799999999999</c:v>
                </c:pt>
                <c:pt idx="55">
                  <c:v>4.1455399999999996</c:v>
                </c:pt>
                <c:pt idx="56">
                  <c:v>4.3002099999999999</c:v>
                </c:pt>
                <c:pt idx="57">
                  <c:v>4.4532400000000001</c:v>
                </c:pt>
                <c:pt idx="58">
                  <c:v>4.6045999999999996</c:v>
                </c:pt>
                <c:pt idx="59">
                  <c:v>4.7542499999999999</c:v>
                </c:pt>
                <c:pt idx="60">
                  <c:v>4.9021299999999997</c:v>
                </c:pt>
                <c:pt idx="61">
                  <c:v>5.0482300000000002</c:v>
                </c:pt>
                <c:pt idx="62">
                  <c:v>5.1924900000000003</c:v>
                </c:pt>
                <c:pt idx="63">
                  <c:v>5.3348899999999997</c:v>
                </c:pt>
                <c:pt idx="64">
                  <c:v>5.4753699999999998</c:v>
                </c:pt>
                <c:pt idx="65">
                  <c:v>5.6139200000000002</c:v>
                </c:pt>
                <c:pt idx="66">
                  <c:v>5.7504900000000001</c:v>
                </c:pt>
                <c:pt idx="67">
                  <c:v>5.88504</c:v>
                </c:pt>
                <c:pt idx="68">
                  <c:v>6.0175599999999996</c:v>
                </c:pt>
                <c:pt idx="69">
                  <c:v>6.1479999999999997</c:v>
                </c:pt>
                <c:pt idx="70">
                  <c:v>6.2763400000000003</c:v>
                </c:pt>
                <c:pt idx="71">
                  <c:v>6.4025400000000001</c:v>
                </c:pt>
                <c:pt idx="72">
                  <c:v>6.5266000000000002</c:v>
                </c:pt>
                <c:pt idx="73">
                  <c:v>6.6484699999999997</c:v>
                </c:pt>
                <c:pt idx="74">
                  <c:v>6.7681300000000002</c:v>
                </c:pt>
                <c:pt idx="75">
                  <c:v>6.88558</c:v>
                </c:pt>
                <c:pt idx="76">
                  <c:v>7.0007900000000003</c:v>
                </c:pt>
                <c:pt idx="77">
                  <c:v>7.11374</c:v>
                </c:pt>
                <c:pt idx="78">
                  <c:v>7.2244200000000003</c:v>
                </c:pt>
                <c:pt idx="79">
                  <c:v>7.3328199999999999</c:v>
                </c:pt>
                <c:pt idx="80">
                  <c:v>7.43893</c:v>
                </c:pt>
                <c:pt idx="81">
                  <c:v>7.5427400000000002</c:v>
                </c:pt>
                <c:pt idx="82">
                  <c:v>7.6442600000000001</c:v>
                </c:pt>
                <c:pt idx="83">
                  <c:v>7.7434700000000003</c:v>
                </c:pt>
                <c:pt idx="84">
                  <c:v>7.8403799999999997</c:v>
                </c:pt>
                <c:pt idx="85">
                  <c:v>7.9349999999999996</c:v>
                </c:pt>
                <c:pt idx="86">
                  <c:v>8.0273199999999996</c:v>
                </c:pt>
                <c:pt idx="87">
                  <c:v>8.1173599999999997</c:v>
                </c:pt>
                <c:pt idx="88">
                  <c:v>8.2051300000000005</c:v>
                </c:pt>
                <c:pt idx="89">
                  <c:v>8.2906300000000002</c:v>
                </c:pt>
                <c:pt idx="90">
                  <c:v>8.3739000000000008</c:v>
                </c:pt>
                <c:pt idx="91">
                  <c:v>8.4549299999999992</c:v>
                </c:pt>
                <c:pt idx="92">
                  <c:v>8.5337499999999995</c:v>
                </c:pt>
                <c:pt idx="93">
                  <c:v>8.6103900000000007</c:v>
                </c:pt>
                <c:pt idx="94">
                  <c:v>8.6848600000000005</c:v>
                </c:pt>
                <c:pt idx="95">
                  <c:v>8.7571999999999992</c:v>
                </c:pt>
                <c:pt idx="96">
                  <c:v>8.82742</c:v>
                </c:pt>
                <c:pt idx="97">
                  <c:v>8.8955599999999997</c:v>
                </c:pt>
                <c:pt idx="98">
                  <c:v>8.9616500000000006</c:v>
                </c:pt>
                <c:pt idx="99">
                  <c:v>9.0257199999999997</c:v>
                </c:pt>
                <c:pt idx="100">
                  <c:v>9.0877999999999997</c:v>
                </c:pt>
                <c:pt idx="101">
                  <c:v>9.1479300000000006</c:v>
                </c:pt>
                <c:pt idx="102">
                  <c:v>9.2061399999999995</c:v>
                </c:pt>
                <c:pt idx="103">
                  <c:v>9.2624700000000004</c:v>
                </c:pt>
                <c:pt idx="104">
                  <c:v>9.3169500000000003</c:v>
                </c:pt>
                <c:pt idx="105">
                  <c:v>9.3696300000000008</c:v>
                </c:pt>
                <c:pt idx="106">
                  <c:v>9.4205400000000008</c:v>
                </c:pt>
                <c:pt idx="107">
                  <c:v>9.4697300000000002</c:v>
                </c:pt>
                <c:pt idx="108">
                  <c:v>9.5172299999999996</c:v>
                </c:pt>
                <c:pt idx="109">
                  <c:v>9.5630799999999994</c:v>
                </c:pt>
                <c:pt idx="110">
                  <c:v>9.6073299999999993</c:v>
                </c:pt>
                <c:pt idx="111">
                  <c:v>9.65001</c:v>
                </c:pt>
                <c:pt idx="112">
                  <c:v>9.69116</c:v>
                </c:pt>
                <c:pt idx="113">
                  <c:v>9.7308299999999992</c:v>
                </c:pt>
                <c:pt idx="114">
                  <c:v>9.7690599999999996</c:v>
                </c:pt>
                <c:pt idx="115">
                  <c:v>9.8058800000000002</c:v>
                </c:pt>
                <c:pt idx="116">
                  <c:v>9.8413400000000006</c:v>
                </c:pt>
                <c:pt idx="117">
                  <c:v>9.8754799999999996</c:v>
                </c:pt>
                <c:pt idx="118">
                  <c:v>9.9083400000000008</c:v>
                </c:pt>
                <c:pt idx="119">
                  <c:v>9.9399499999999996</c:v>
                </c:pt>
                <c:pt idx="120">
                  <c:v>9.9703499999999998</c:v>
                </c:pt>
                <c:pt idx="121">
                  <c:v>9.9995899999999995</c:v>
                </c:pt>
                <c:pt idx="122">
                  <c:v>10.027699999999999</c:v>
                </c:pt>
                <c:pt idx="123">
                  <c:v>10.0547</c:v>
                </c:pt>
                <c:pt idx="124">
                  <c:v>10.0807</c:v>
                </c:pt>
                <c:pt idx="125">
                  <c:v>10.105600000000001</c:v>
                </c:pt>
                <c:pt idx="126">
                  <c:v>10.1295</c:v>
                </c:pt>
                <c:pt idx="127">
                  <c:v>10.1525</c:v>
                </c:pt>
                <c:pt idx="128">
                  <c:v>10.1746</c:v>
                </c:pt>
                <c:pt idx="129">
                  <c:v>10.1958</c:v>
                </c:pt>
                <c:pt idx="130">
                  <c:v>10.216100000000001</c:v>
                </c:pt>
                <c:pt idx="131">
                  <c:v>10.2356</c:v>
                </c:pt>
                <c:pt idx="132">
                  <c:v>10.254300000000001</c:v>
                </c:pt>
                <c:pt idx="133">
                  <c:v>10.2723</c:v>
                </c:pt>
                <c:pt idx="134">
                  <c:v>10.2895</c:v>
                </c:pt>
                <c:pt idx="135">
                  <c:v>10.305899999999999</c:v>
                </c:pt>
                <c:pt idx="136">
                  <c:v>10.3218</c:v>
                </c:pt>
                <c:pt idx="137">
                  <c:v>10.3369</c:v>
                </c:pt>
                <c:pt idx="138">
                  <c:v>10.3514</c:v>
                </c:pt>
                <c:pt idx="139">
                  <c:v>10.3653</c:v>
                </c:pt>
                <c:pt idx="140">
                  <c:v>10.3787</c:v>
                </c:pt>
                <c:pt idx="141">
                  <c:v>10.391400000000001</c:v>
                </c:pt>
                <c:pt idx="142">
                  <c:v>10.403700000000001</c:v>
                </c:pt>
                <c:pt idx="143">
                  <c:v>10.4154</c:v>
                </c:pt>
                <c:pt idx="144">
                  <c:v>10.426600000000001</c:v>
                </c:pt>
                <c:pt idx="145">
                  <c:v>10.4373</c:v>
                </c:pt>
                <c:pt idx="146">
                  <c:v>10.4476</c:v>
                </c:pt>
                <c:pt idx="147">
                  <c:v>10.4574</c:v>
                </c:pt>
                <c:pt idx="148">
                  <c:v>10.466799999999999</c:v>
                </c:pt>
                <c:pt idx="149">
                  <c:v>10.4758</c:v>
                </c:pt>
                <c:pt idx="150">
                  <c:v>10.484500000000001</c:v>
                </c:pt>
                <c:pt idx="151">
                  <c:v>10.492699999999999</c:v>
                </c:pt>
                <c:pt idx="152">
                  <c:v>10.5006</c:v>
                </c:pt>
                <c:pt idx="153">
                  <c:v>10.5082</c:v>
                </c:pt>
                <c:pt idx="154">
                  <c:v>10.5154</c:v>
                </c:pt>
                <c:pt idx="155">
                  <c:v>10.5223</c:v>
                </c:pt>
                <c:pt idx="156">
                  <c:v>10.5289</c:v>
                </c:pt>
                <c:pt idx="157">
                  <c:v>10.5352</c:v>
                </c:pt>
                <c:pt idx="158">
                  <c:v>10.5413</c:v>
                </c:pt>
                <c:pt idx="159">
                  <c:v>10.547000000000001</c:v>
                </c:pt>
                <c:pt idx="160">
                  <c:v>10.5526</c:v>
                </c:pt>
                <c:pt idx="161">
                  <c:v>10.5579</c:v>
                </c:pt>
                <c:pt idx="162">
                  <c:v>10.562900000000001</c:v>
                </c:pt>
                <c:pt idx="163">
                  <c:v>10.5677</c:v>
                </c:pt>
                <c:pt idx="164">
                  <c:v>10.5724</c:v>
                </c:pt>
                <c:pt idx="165">
                  <c:v>10.5768</c:v>
                </c:pt>
                <c:pt idx="166">
                  <c:v>10.581</c:v>
                </c:pt>
                <c:pt idx="167">
                  <c:v>10.585000000000001</c:v>
                </c:pt>
                <c:pt idx="168">
                  <c:v>10.588900000000001</c:v>
                </c:pt>
                <c:pt idx="169">
                  <c:v>10.592599999999999</c:v>
                </c:pt>
                <c:pt idx="170">
                  <c:v>10.5961</c:v>
                </c:pt>
                <c:pt idx="171">
                  <c:v>10.599500000000001</c:v>
                </c:pt>
                <c:pt idx="172">
                  <c:v>10.6027</c:v>
                </c:pt>
                <c:pt idx="173">
                  <c:v>10.6058</c:v>
                </c:pt>
                <c:pt idx="174">
                  <c:v>10.608700000000001</c:v>
                </c:pt>
                <c:pt idx="175">
                  <c:v>10.611499999999999</c:v>
                </c:pt>
                <c:pt idx="176">
                  <c:v>10.6142</c:v>
                </c:pt>
                <c:pt idx="177">
                  <c:v>10.6168</c:v>
                </c:pt>
                <c:pt idx="178">
                  <c:v>10.619199999999999</c:v>
                </c:pt>
                <c:pt idx="179">
                  <c:v>10.621499999999999</c:v>
                </c:pt>
                <c:pt idx="180">
                  <c:v>10.623799999999999</c:v>
                </c:pt>
                <c:pt idx="181">
                  <c:v>10.6259</c:v>
                </c:pt>
                <c:pt idx="182">
                  <c:v>10.628</c:v>
                </c:pt>
                <c:pt idx="183">
                  <c:v>10.629899999999999</c:v>
                </c:pt>
                <c:pt idx="184">
                  <c:v>10.6318</c:v>
                </c:pt>
                <c:pt idx="185">
                  <c:v>10.633599999999999</c:v>
                </c:pt>
                <c:pt idx="186">
                  <c:v>10.635300000000001</c:v>
                </c:pt>
                <c:pt idx="187">
                  <c:v>10.636900000000001</c:v>
                </c:pt>
                <c:pt idx="188">
                  <c:v>10.638400000000001</c:v>
                </c:pt>
                <c:pt idx="189">
                  <c:v>10.639900000000001</c:v>
                </c:pt>
                <c:pt idx="190">
                  <c:v>10.641299999999999</c:v>
                </c:pt>
                <c:pt idx="191">
                  <c:v>10.6427</c:v>
                </c:pt>
                <c:pt idx="192">
                  <c:v>10.644</c:v>
                </c:pt>
                <c:pt idx="193">
                  <c:v>10.645200000000001</c:v>
                </c:pt>
                <c:pt idx="194">
                  <c:v>10.6464</c:v>
                </c:pt>
                <c:pt idx="195">
                  <c:v>10.647500000000001</c:v>
                </c:pt>
                <c:pt idx="196">
                  <c:v>10.6486</c:v>
                </c:pt>
                <c:pt idx="197">
                  <c:v>10.6496</c:v>
                </c:pt>
                <c:pt idx="198">
                  <c:v>10.650600000000001</c:v>
                </c:pt>
                <c:pt idx="199">
                  <c:v>10.6515</c:v>
                </c:pt>
                <c:pt idx="200">
                  <c:v>10.6524</c:v>
                </c:pt>
                <c:pt idx="201">
                  <c:v>10.6533</c:v>
                </c:pt>
                <c:pt idx="202">
                  <c:v>10.6541</c:v>
                </c:pt>
                <c:pt idx="203">
                  <c:v>10.6549</c:v>
                </c:pt>
                <c:pt idx="204">
                  <c:v>10.6556</c:v>
                </c:pt>
                <c:pt idx="205">
                  <c:v>10.6563</c:v>
                </c:pt>
                <c:pt idx="206">
                  <c:v>10.657</c:v>
                </c:pt>
                <c:pt idx="207">
                  <c:v>10.6577</c:v>
                </c:pt>
                <c:pt idx="208">
                  <c:v>10.658300000000001</c:v>
                </c:pt>
                <c:pt idx="209">
                  <c:v>10.658899999999999</c:v>
                </c:pt>
                <c:pt idx="210">
                  <c:v>10.6594</c:v>
                </c:pt>
                <c:pt idx="211">
                  <c:v>10.66</c:v>
                </c:pt>
                <c:pt idx="212">
                  <c:v>10.660500000000001</c:v>
                </c:pt>
                <c:pt idx="213">
                  <c:v>10.661</c:v>
                </c:pt>
                <c:pt idx="214">
                  <c:v>10.6614</c:v>
                </c:pt>
                <c:pt idx="215">
                  <c:v>10.661899999999999</c:v>
                </c:pt>
                <c:pt idx="216">
                  <c:v>10.6623</c:v>
                </c:pt>
                <c:pt idx="217">
                  <c:v>10.662699999999999</c:v>
                </c:pt>
                <c:pt idx="218">
                  <c:v>10.6631</c:v>
                </c:pt>
                <c:pt idx="219">
                  <c:v>10.663500000000001</c:v>
                </c:pt>
                <c:pt idx="220">
                  <c:v>10.6638</c:v>
                </c:pt>
                <c:pt idx="221">
                  <c:v>10.664199999999999</c:v>
                </c:pt>
                <c:pt idx="222">
                  <c:v>10.6645</c:v>
                </c:pt>
                <c:pt idx="223">
                  <c:v>10.6648</c:v>
                </c:pt>
                <c:pt idx="224">
                  <c:v>10.665100000000001</c:v>
                </c:pt>
                <c:pt idx="225">
                  <c:v>10.6653</c:v>
                </c:pt>
                <c:pt idx="226">
                  <c:v>10.6656</c:v>
                </c:pt>
                <c:pt idx="227">
                  <c:v>10.665900000000001</c:v>
                </c:pt>
                <c:pt idx="228">
                  <c:v>10.6661</c:v>
                </c:pt>
                <c:pt idx="229">
                  <c:v>10.6663</c:v>
                </c:pt>
                <c:pt idx="230">
                  <c:v>10.666499999999999</c:v>
                </c:pt>
                <c:pt idx="231">
                  <c:v>10.666700000000001</c:v>
                </c:pt>
                <c:pt idx="232">
                  <c:v>10.6669</c:v>
                </c:pt>
                <c:pt idx="233">
                  <c:v>10.6671</c:v>
                </c:pt>
                <c:pt idx="234">
                  <c:v>10.667299999999999</c:v>
                </c:pt>
                <c:pt idx="235">
                  <c:v>10.6675</c:v>
                </c:pt>
                <c:pt idx="236">
                  <c:v>10.6676</c:v>
                </c:pt>
                <c:pt idx="237">
                  <c:v>10.6678</c:v>
                </c:pt>
                <c:pt idx="238">
                  <c:v>10.667899999999999</c:v>
                </c:pt>
                <c:pt idx="239">
                  <c:v>10.668100000000001</c:v>
                </c:pt>
                <c:pt idx="240">
                  <c:v>10.668200000000001</c:v>
                </c:pt>
                <c:pt idx="241">
                  <c:v>10.6683</c:v>
                </c:pt>
                <c:pt idx="242">
                  <c:v>10.6684</c:v>
                </c:pt>
                <c:pt idx="243">
                  <c:v>10.6685</c:v>
                </c:pt>
                <c:pt idx="244">
                  <c:v>10.6686</c:v>
                </c:pt>
                <c:pt idx="245">
                  <c:v>10.668699999999999</c:v>
                </c:pt>
                <c:pt idx="246">
                  <c:v>10.668799999999999</c:v>
                </c:pt>
                <c:pt idx="247">
                  <c:v>10.668900000000001</c:v>
                </c:pt>
                <c:pt idx="248">
                  <c:v>10.669</c:v>
                </c:pt>
                <c:pt idx="249">
                  <c:v>10.669</c:v>
                </c:pt>
                <c:pt idx="250">
                  <c:v>10.6691</c:v>
                </c:pt>
                <c:pt idx="251">
                  <c:v>10.6692</c:v>
                </c:pt>
                <c:pt idx="252">
                  <c:v>10.6692</c:v>
                </c:pt>
                <c:pt idx="253">
                  <c:v>10.6693</c:v>
                </c:pt>
                <c:pt idx="254">
                  <c:v>10.6693</c:v>
                </c:pt>
                <c:pt idx="255">
                  <c:v>10.6693</c:v>
                </c:pt>
                <c:pt idx="256">
                  <c:v>10.6694</c:v>
                </c:pt>
                <c:pt idx="257">
                  <c:v>10.6694</c:v>
                </c:pt>
                <c:pt idx="258">
                  <c:v>10.6694</c:v>
                </c:pt>
                <c:pt idx="259">
                  <c:v>10.669499999999999</c:v>
                </c:pt>
                <c:pt idx="260">
                  <c:v>10.669499999999999</c:v>
                </c:pt>
                <c:pt idx="261">
                  <c:v>10.669499999999999</c:v>
                </c:pt>
                <c:pt idx="262">
                  <c:v>10.669499999999999</c:v>
                </c:pt>
                <c:pt idx="263">
                  <c:v>10.669499999999999</c:v>
                </c:pt>
                <c:pt idx="264">
                  <c:v>10.669499999999999</c:v>
                </c:pt>
                <c:pt idx="265">
                  <c:v>10.669499999999999</c:v>
                </c:pt>
                <c:pt idx="266">
                  <c:v>10.669499999999999</c:v>
                </c:pt>
                <c:pt idx="267">
                  <c:v>10.669499999999999</c:v>
                </c:pt>
                <c:pt idx="268">
                  <c:v>10.6694</c:v>
                </c:pt>
                <c:pt idx="269">
                  <c:v>10.6694</c:v>
                </c:pt>
                <c:pt idx="270">
                  <c:v>10.6694</c:v>
                </c:pt>
                <c:pt idx="271">
                  <c:v>10.6694</c:v>
                </c:pt>
                <c:pt idx="272">
                  <c:v>10.6693</c:v>
                </c:pt>
                <c:pt idx="273">
                  <c:v>10.6693</c:v>
                </c:pt>
                <c:pt idx="274">
                  <c:v>10.6692</c:v>
                </c:pt>
                <c:pt idx="275">
                  <c:v>10.6692</c:v>
                </c:pt>
                <c:pt idx="276">
                  <c:v>10.6691</c:v>
                </c:pt>
                <c:pt idx="277">
                  <c:v>10.6691</c:v>
                </c:pt>
                <c:pt idx="278">
                  <c:v>10.669</c:v>
                </c:pt>
                <c:pt idx="279">
                  <c:v>10.668900000000001</c:v>
                </c:pt>
                <c:pt idx="280">
                  <c:v>10.668799999999999</c:v>
                </c:pt>
                <c:pt idx="281">
                  <c:v>10.668799999999999</c:v>
                </c:pt>
                <c:pt idx="282">
                  <c:v>10.668699999999999</c:v>
                </c:pt>
                <c:pt idx="283">
                  <c:v>10.6686</c:v>
                </c:pt>
                <c:pt idx="284">
                  <c:v>10.6685</c:v>
                </c:pt>
                <c:pt idx="285">
                  <c:v>10.6684</c:v>
                </c:pt>
                <c:pt idx="286">
                  <c:v>10.668200000000001</c:v>
                </c:pt>
                <c:pt idx="287">
                  <c:v>10.668100000000001</c:v>
                </c:pt>
                <c:pt idx="288">
                  <c:v>10.667999999999999</c:v>
                </c:pt>
                <c:pt idx="289">
                  <c:v>10.667899999999999</c:v>
                </c:pt>
                <c:pt idx="290">
                  <c:v>10.6677</c:v>
                </c:pt>
                <c:pt idx="291">
                  <c:v>10.6676</c:v>
                </c:pt>
                <c:pt idx="292">
                  <c:v>10.667400000000001</c:v>
                </c:pt>
                <c:pt idx="293">
                  <c:v>10.667199999999999</c:v>
                </c:pt>
                <c:pt idx="294">
                  <c:v>10.667</c:v>
                </c:pt>
                <c:pt idx="295">
                  <c:v>10.6669</c:v>
                </c:pt>
                <c:pt idx="296">
                  <c:v>10.666700000000001</c:v>
                </c:pt>
                <c:pt idx="297">
                  <c:v>10.666399999999999</c:v>
                </c:pt>
                <c:pt idx="298">
                  <c:v>10.6662</c:v>
                </c:pt>
                <c:pt idx="299">
                  <c:v>10.666</c:v>
                </c:pt>
                <c:pt idx="300">
                  <c:v>10.665699999999999</c:v>
                </c:pt>
                <c:pt idx="301">
                  <c:v>10.6655</c:v>
                </c:pt>
                <c:pt idx="302">
                  <c:v>10.6652</c:v>
                </c:pt>
                <c:pt idx="303">
                  <c:v>10.664899999999999</c:v>
                </c:pt>
                <c:pt idx="304">
                  <c:v>10.6646</c:v>
                </c:pt>
                <c:pt idx="305">
                  <c:v>10.664300000000001</c:v>
                </c:pt>
                <c:pt idx="306">
                  <c:v>10.664</c:v>
                </c:pt>
                <c:pt idx="307">
                  <c:v>10.6637</c:v>
                </c:pt>
                <c:pt idx="308">
                  <c:v>10.6633</c:v>
                </c:pt>
                <c:pt idx="309">
                  <c:v>10.6629</c:v>
                </c:pt>
                <c:pt idx="310">
                  <c:v>10.6625</c:v>
                </c:pt>
                <c:pt idx="311">
                  <c:v>10.662100000000001</c:v>
                </c:pt>
                <c:pt idx="312">
                  <c:v>10.6617</c:v>
                </c:pt>
                <c:pt idx="313">
                  <c:v>10.661199999999999</c:v>
                </c:pt>
                <c:pt idx="314">
                  <c:v>10.6607</c:v>
                </c:pt>
                <c:pt idx="315">
                  <c:v>10.6602</c:v>
                </c:pt>
                <c:pt idx="316">
                  <c:v>10.659700000000001</c:v>
                </c:pt>
                <c:pt idx="317">
                  <c:v>10.6592</c:v>
                </c:pt>
                <c:pt idx="318">
                  <c:v>10.6586</c:v>
                </c:pt>
                <c:pt idx="319">
                  <c:v>10.657999999999999</c:v>
                </c:pt>
                <c:pt idx="320">
                  <c:v>10.657400000000001</c:v>
                </c:pt>
                <c:pt idx="321">
                  <c:v>10.656700000000001</c:v>
                </c:pt>
                <c:pt idx="322">
                  <c:v>10.656000000000001</c:v>
                </c:pt>
                <c:pt idx="323">
                  <c:v>10.6553</c:v>
                </c:pt>
                <c:pt idx="324">
                  <c:v>10.654500000000001</c:v>
                </c:pt>
                <c:pt idx="325">
                  <c:v>10.653700000000001</c:v>
                </c:pt>
                <c:pt idx="326">
                  <c:v>10.652900000000001</c:v>
                </c:pt>
                <c:pt idx="327">
                  <c:v>10.651999999999999</c:v>
                </c:pt>
                <c:pt idx="328">
                  <c:v>10.6511</c:v>
                </c:pt>
                <c:pt idx="329">
                  <c:v>10.6501</c:v>
                </c:pt>
                <c:pt idx="330">
                  <c:v>10.649100000000001</c:v>
                </c:pt>
                <c:pt idx="331">
                  <c:v>10.648099999999999</c:v>
                </c:pt>
                <c:pt idx="332">
                  <c:v>10.647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10.6434</c:v>
                </c:pt>
                <c:pt idx="336">
                  <c:v>10.641999999999999</c:v>
                </c:pt>
                <c:pt idx="337">
                  <c:v>10.640700000000001</c:v>
                </c:pt>
                <c:pt idx="338">
                  <c:v>10.639200000000001</c:v>
                </c:pt>
                <c:pt idx="339">
                  <c:v>10.637700000000001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10.6309</c:v>
                </c:pt>
                <c:pt idx="344">
                  <c:v>10.629</c:v>
                </c:pt>
                <c:pt idx="345">
                  <c:v>10.627000000000001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10.610200000000001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10.597899999999999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10.5747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10.538399999999999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9.9854000000000003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9.7114799999999999</c:v>
                </c:pt>
                <c:pt idx="415">
                  <c:v>9.6710700000000003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9.4939699999999991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9.0571900000000003</c:v>
                </c:pt>
                <c:pt idx="428">
                  <c:v>8.9940999999999995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8.1613199999999999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7.0566300000000002</c:v>
                </c:pt>
                <c:pt idx="451">
                  <c:v>6.9424599999999996</c:v>
                </c:pt>
                <c:pt idx="452">
                  <c:v>6.8260500000000004</c:v>
                </c:pt>
                <c:pt idx="453">
                  <c:v>6.7073900000000002</c:v>
                </c:pt>
                <c:pt idx="454">
                  <c:v>6.5865299999999998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0.67055600000000004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C-4168-83E3-7FFD392CA4D0}"/>
            </c:ext>
          </c:extLst>
        </c:ser>
        <c:ser>
          <c:idx val="3"/>
          <c:order val="1"/>
          <c:tx>
            <c:strRef>
              <c:f>'final-simulation ( Proteus)'!$C$1</c:f>
              <c:strCache>
                <c:ptCount val="1"/>
                <c:pt idx="0">
                  <c:v>Stage 2 Simulation (OPA551)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'final-simulation ( Proteus)'!$A$2:$A$502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'final-simulation ( Proteus)'!$C$2:$C$502</c:f>
              <c:numCache>
                <c:formatCode>General</c:formatCode>
                <c:ptCount val="501"/>
                <c:pt idx="0">
                  <c:v>-24.825399999999998</c:v>
                </c:pt>
                <c:pt idx="1">
                  <c:v>-24.432500000000001</c:v>
                </c:pt>
                <c:pt idx="2">
                  <c:v>-24.04</c:v>
                </c:pt>
                <c:pt idx="3">
                  <c:v>-23.6478</c:v>
                </c:pt>
                <c:pt idx="4">
                  <c:v>-23.256</c:v>
                </c:pt>
                <c:pt idx="5">
                  <c:v>-22.8645</c:v>
                </c:pt>
                <c:pt idx="6">
                  <c:v>-22.473500000000001</c:v>
                </c:pt>
                <c:pt idx="7">
                  <c:v>-22.082899999999999</c:v>
                </c:pt>
                <c:pt idx="8">
                  <c:v>-21.692699999999999</c:v>
                </c:pt>
                <c:pt idx="9">
                  <c:v>-21.302900000000001</c:v>
                </c:pt>
                <c:pt idx="10">
                  <c:v>-20.913599999999999</c:v>
                </c:pt>
                <c:pt idx="11">
                  <c:v>-20.524799999999999</c:v>
                </c:pt>
                <c:pt idx="12">
                  <c:v>-20.136500000000002</c:v>
                </c:pt>
                <c:pt idx="13">
                  <c:v>-19.748799999999999</c:v>
                </c:pt>
                <c:pt idx="14">
                  <c:v>-19.361599999999999</c:v>
                </c:pt>
                <c:pt idx="15">
                  <c:v>-18.975000000000001</c:v>
                </c:pt>
                <c:pt idx="16">
                  <c:v>-18.588999999999999</c:v>
                </c:pt>
                <c:pt idx="17">
                  <c:v>-18.203600000000002</c:v>
                </c:pt>
                <c:pt idx="18">
                  <c:v>-17.818899999999999</c:v>
                </c:pt>
                <c:pt idx="19">
                  <c:v>-17.434899999999999</c:v>
                </c:pt>
                <c:pt idx="20">
                  <c:v>-17.051600000000001</c:v>
                </c:pt>
                <c:pt idx="21">
                  <c:v>-16.669</c:v>
                </c:pt>
                <c:pt idx="22">
                  <c:v>-16.287199999999999</c:v>
                </c:pt>
                <c:pt idx="23">
                  <c:v>-15.9063</c:v>
                </c:pt>
                <c:pt idx="24">
                  <c:v>-15.526199999999999</c:v>
                </c:pt>
                <c:pt idx="25">
                  <c:v>-15.1469</c:v>
                </c:pt>
                <c:pt idx="26">
                  <c:v>-14.768599999999999</c:v>
                </c:pt>
                <c:pt idx="27">
                  <c:v>-14.391299999999999</c:v>
                </c:pt>
                <c:pt idx="28">
                  <c:v>-14.015000000000001</c:v>
                </c:pt>
                <c:pt idx="29">
                  <c:v>-13.639699999999999</c:v>
                </c:pt>
                <c:pt idx="30">
                  <c:v>-13.265499999999999</c:v>
                </c:pt>
                <c:pt idx="31">
                  <c:v>-12.8924</c:v>
                </c:pt>
                <c:pt idx="32">
                  <c:v>-12.5205</c:v>
                </c:pt>
                <c:pt idx="33">
                  <c:v>-12.149800000000001</c:v>
                </c:pt>
                <c:pt idx="34">
                  <c:v>-11.7804</c:v>
                </c:pt>
                <c:pt idx="35">
                  <c:v>-11.4122</c:v>
                </c:pt>
                <c:pt idx="36">
                  <c:v>-11.045500000000001</c:v>
                </c:pt>
                <c:pt idx="37">
                  <c:v>-10.680199999999999</c:v>
                </c:pt>
                <c:pt idx="38">
                  <c:v>-10.3164</c:v>
                </c:pt>
                <c:pt idx="39">
                  <c:v>-9.9540699999999998</c:v>
                </c:pt>
                <c:pt idx="40">
                  <c:v>-9.5933600000000006</c:v>
                </c:pt>
                <c:pt idx="41">
                  <c:v>-9.2342999999999993</c:v>
                </c:pt>
                <c:pt idx="42">
                  <c:v>-8.8769500000000008</c:v>
                </c:pt>
                <c:pt idx="43">
                  <c:v>-8.5213699999999992</c:v>
                </c:pt>
                <c:pt idx="44">
                  <c:v>-8.1676300000000008</c:v>
                </c:pt>
                <c:pt idx="45">
                  <c:v>-7.8157899999999998</c:v>
                </c:pt>
                <c:pt idx="46">
                  <c:v>-7.4659199999999997</c:v>
                </c:pt>
                <c:pt idx="47">
                  <c:v>-7.1180899999999996</c:v>
                </c:pt>
                <c:pt idx="48">
                  <c:v>-6.7723599999999999</c:v>
                </c:pt>
                <c:pt idx="49">
                  <c:v>-6.4287999999999998</c:v>
                </c:pt>
                <c:pt idx="50">
                  <c:v>-6.0874899999999998</c:v>
                </c:pt>
                <c:pt idx="51">
                  <c:v>-5.7484999999999999</c:v>
                </c:pt>
                <c:pt idx="52">
                  <c:v>-5.4119099999999998</c:v>
                </c:pt>
                <c:pt idx="53">
                  <c:v>-5.0777799999999997</c:v>
                </c:pt>
                <c:pt idx="54">
                  <c:v>-4.7462</c:v>
                </c:pt>
                <c:pt idx="55">
                  <c:v>-4.4172399999999996</c:v>
                </c:pt>
                <c:pt idx="56">
                  <c:v>-4.0909800000000001</c:v>
                </c:pt>
                <c:pt idx="57">
                  <c:v>-3.76749</c:v>
                </c:pt>
                <c:pt idx="58">
                  <c:v>-3.44685</c:v>
                </c:pt>
                <c:pt idx="59">
                  <c:v>-3.1291500000000001</c:v>
                </c:pt>
                <c:pt idx="60">
                  <c:v>-2.8144499999999999</c:v>
                </c:pt>
                <c:pt idx="61">
                  <c:v>-2.50285</c:v>
                </c:pt>
                <c:pt idx="62">
                  <c:v>-2.19441</c:v>
                </c:pt>
                <c:pt idx="63">
                  <c:v>-1.8892100000000001</c:v>
                </c:pt>
                <c:pt idx="64">
                  <c:v>-1.58734</c:v>
                </c:pt>
                <c:pt idx="65">
                  <c:v>-1.2888599999999999</c:v>
                </c:pt>
                <c:pt idx="66">
                  <c:v>-0.99385299999999999</c:v>
                </c:pt>
                <c:pt idx="67">
                  <c:v>-0.70239600000000002</c:v>
                </c:pt>
                <c:pt idx="68">
                  <c:v>-0.41455900000000001</c:v>
                </c:pt>
                <c:pt idx="69">
                  <c:v>-0.130414</c:v>
                </c:pt>
                <c:pt idx="70">
                  <c:v>0.14996899999999999</c:v>
                </c:pt>
                <c:pt idx="71">
                  <c:v>0.42652400000000001</c:v>
                </c:pt>
                <c:pt idx="72">
                  <c:v>0.699183</c:v>
                </c:pt>
                <c:pt idx="73">
                  <c:v>0.96788399999999997</c:v>
                </c:pt>
                <c:pt idx="74">
                  <c:v>1.2325699999999999</c:v>
                </c:pt>
                <c:pt idx="75">
                  <c:v>1.4931700000000001</c:v>
                </c:pt>
                <c:pt idx="76">
                  <c:v>1.7496400000000001</c:v>
                </c:pt>
                <c:pt idx="77">
                  <c:v>2.0019300000000002</c:v>
                </c:pt>
                <c:pt idx="78">
                  <c:v>2.2499799999999999</c:v>
                </c:pt>
                <c:pt idx="79">
                  <c:v>2.49376</c:v>
                </c:pt>
                <c:pt idx="80">
                  <c:v>2.7332200000000002</c:v>
                </c:pt>
                <c:pt idx="81">
                  <c:v>2.9683199999999998</c:v>
                </c:pt>
                <c:pt idx="82">
                  <c:v>3.19902</c:v>
                </c:pt>
                <c:pt idx="83">
                  <c:v>3.4253100000000001</c:v>
                </c:pt>
                <c:pt idx="84">
                  <c:v>3.6471499999999999</c:v>
                </c:pt>
                <c:pt idx="85">
                  <c:v>3.8645100000000001</c:v>
                </c:pt>
                <c:pt idx="86">
                  <c:v>4.0773999999999999</c:v>
                </c:pt>
                <c:pt idx="87">
                  <c:v>4.2857799999999999</c:v>
                </c:pt>
                <c:pt idx="88">
                  <c:v>4.4896599999999998</c:v>
                </c:pt>
                <c:pt idx="89">
                  <c:v>4.6890200000000002</c:v>
                </c:pt>
                <c:pt idx="90">
                  <c:v>4.8838800000000004</c:v>
                </c:pt>
                <c:pt idx="91">
                  <c:v>5.07423</c:v>
                </c:pt>
                <c:pt idx="92">
                  <c:v>5.2600899999999999</c:v>
                </c:pt>
                <c:pt idx="93">
                  <c:v>5.4414600000000002</c:v>
                </c:pt>
                <c:pt idx="94">
                  <c:v>5.6183699999999996</c:v>
                </c:pt>
                <c:pt idx="95">
                  <c:v>5.7908400000000002</c:v>
                </c:pt>
                <c:pt idx="96">
                  <c:v>5.9588999999999999</c:v>
                </c:pt>
                <c:pt idx="97">
                  <c:v>6.1225699999999996</c:v>
                </c:pt>
                <c:pt idx="98">
                  <c:v>6.2818899999999998</c:v>
                </c:pt>
                <c:pt idx="99">
                  <c:v>6.4369100000000001</c:v>
                </c:pt>
                <c:pt idx="100">
                  <c:v>6.5876599999999996</c:v>
                </c:pt>
                <c:pt idx="101">
                  <c:v>6.7341899999999999</c:v>
                </c:pt>
                <c:pt idx="102">
                  <c:v>6.8765599999999996</c:v>
                </c:pt>
                <c:pt idx="103">
                  <c:v>7.0148000000000001</c:v>
                </c:pt>
                <c:pt idx="104">
                  <c:v>7.1489799999999999</c:v>
                </c:pt>
                <c:pt idx="105">
                  <c:v>7.2791600000000001</c:v>
                </c:pt>
                <c:pt idx="106">
                  <c:v>7.4054000000000002</c:v>
                </c:pt>
                <c:pt idx="107">
                  <c:v>7.5277700000000003</c:v>
                </c:pt>
                <c:pt idx="108">
                  <c:v>7.6463200000000002</c:v>
                </c:pt>
                <c:pt idx="109">
                  <c:v>7.7611299999999996</c:v>
                </c:pt>
                <c:pt idx="110">
                  <c:v>7.8722700000000003</c:v>
                </c:pt>
                <c:pt idx="111">
                  <c:v>7.9798099999999996</c:v>
                </c:pt>
                <c:pt idx="112">
                  <c:v>8.0838199999999993</c:v>
                </c:pt>
                <c:pt idx="113">
                  <c:v>8.1843800000000009</c:v>
                </c:pt>
                <c:pt idx="114">
                  <c:v>8.2815600000000007</c:v>
                </c:pt>
                <c:pt idx="115">
                  <c:v>8.3754500000000007</c:v>
                </c:pt>
                <c:pt idx="116">
                  <c:v>8.4661100000000005</c:v>
                </c:pt>
                <c:pt idx="117">
                  <c:v>8.5536300000000001</c:v>
                </c:pt>
                <c:pt idx="118">
                  <c:v>8.6380800000000004</c:v>
                </c:pt>
                <c:pt idx="119">
                  <c:v>8.7195400000000003</c:v>
                </c:pt>
                <c:pt idx="120">
                  <c:v>8.7980999999999998</c:v>
                </c:pt>
                <c:pt idx="121">
                  <c:v>8.8738200000000003</c:v>
                </c:pt>
                <c:pt idx="122">
                  <c:v>8.94679</c:v>
                </c:pt>
                <c:pt idx="123">
                  <c:v>9.01708</c:v>
                </c:pt>
                <c:pt idx="124">
                  <c:v>9.0847800000000003</c:v>
                </c:pt>
                <c:pt idx="125">
                  <c:v>9.1499500000000005</c:v>
                </c:pt>
                <c:pt idx="126">
                  <c:v>9.2126800000000006</c:v>
                </c:pt>
                <c:pt idx="127">
                  <c:v>9.2730300000000003</c:v>
                </c:pt>
                <c:pt idx="128">
                  <c:v>9.33108</c:v>
                </c:pt>
                <c:pt idx="129">
                  <c:v>9.3869100000000003</c:v>
                </c:pt>
                <c:pt idx="130">
                  <c:v>9.4405800000000006</c:v>
                </c:pt>
                <c:pt idx="131">
                  <c:v>9.4921600000000002</c:v>
                </c:pt>
                <c:pt idx="132">
                  <c:v>9.5417299999999994</c:v>
                </c:pt>
                <c:pt idx="133">
                  <c:v>9.5893499999999996</c:v>
                </c:pt>
                <c:pt idx="134">
                  <c:v>9.6350899999999999</c:v>
                </c:pt>
                <c:pt idx="135">
                  <c:v>9.6790099999999999</c:v>
                </c:pt>
                <c:pt idx="136">
                  <c:v>9.7211700000000008</c:v>
                </c:pt>
                <c:pt idx="137">
                  <c:v>9.7616399999999999</c:v>
                </c:pt>
                <c:pt idx="138">
                  <c:v>9.8004700000000007</c:v>
                </c:pt>
                <c:pt idx="139">
                  <c:v>9.8377400000000002</c:v>
                </c:pt>
                <c:pt idx="140">
                  <c:v>9.8734800000000007</c:v>
                </c:pt>
                <c:pt idx="141">
                  <c:v>9.9077599999999997</c:v>
                </c:pt>
                <c:pt idx="142">
                  <c:v>9.9406400000000001</c:v>
                </c:pt>
                <c:pt idx="143">
                  <c:v>9.9721600000000006</c:v>
                </c:pt>
                <c:pt idx="144">
                  <c:v>10.0024</c:v>
                </c:pt>
                <c:pt idx="145">
                  <c:v>10.0313</c:v>
                </c:pt>
                <c:pt idx="146">
                  <c:v>10.059100000000001</c:v>
                </c:pt>
                <c:pt idx="147">
                  <c:v>10.085699999999999</c:v>
                </c:pt>
                <c:pt idx="148">
                  <c:v>10.1112</c:v>
                </c:pt>
                <c:pt idx="149">
                  <c:v>10.1356</c:v>
                </c:pt>
                <c:pt idx="150">
                  <c:v>10.158899999999999</c:v>
                </c:pt>
                <c:pt idx="151">
                  <c:v>10.1813</c:v>
                </c:pt>
                <c:pt idx="152">
                  <c:v>10.2028</c:v>
                </c:pt>
                <c:pt idx="153">
                  <c:v>10.2233</c:v>
                </c:pt>
                <c:pt idx="154">
                  <c:v>10.242900000000001</c:v>
                </c:pt>
                <c:pt idx="155">
                  <c:v>10.261799999999999</c:v>
                </c:pt>
                <c:pt idx="156">
                  <c:v>10.2798</c:v>
                </c:pt>
                <c:pt idx="157">
                  <c:v>10.297000000000001</c:v>
                </c:pt>
                <c:pt idx="158">
                  <c:v>10.313499999999999</c:v>
                </c:pt>
                <c:pt idx="159">
                  <c:v>10.3293</c:v>
                </c:pt>
                <c:pt idx="160">
                  <c:v>10.3444</c:v>
                </c:pt>
                <c:pt idx="161">
                  <c:v>10.3588</c:v>
                </c:pt>
                <c:pt idx="162">
                  <c:v>10.3726</c:v>
                </c:pt>
                <c:pt idx="163">
                  <c:v>10.3858</c:v>
                </c:pt>
                <c:pt idx="164">
                  <c:v>10.3985</c:v>
                </c:pt>
                <c:pt idx="165">
                  <c:v>10.410600000000001</c:v>
                </c:pt>
                <c:pt idx="166">
                  <c:v>10.4221</c:v>
                </c:pt>
                <c:pt idx="167">
                  <c:v>10.433199999999999</c:v>
                </c:pt>
                <c:pt idx="168">
                  <c:v>10.4438</c:v>
                </c:pt>
                <c:pt idx="169">
                  <c:v>10.453900000000001</c:v>
                </c:pt>
                <c:pt idx="170">
                  <c:v>10.4636</c:v>
                </c:pt>
                <c:pt idx="171">
                  <c:v>10.472799999999999</c:v>
                </c:pt>
                <c:pt idx="172">
                  <c:v>10.4817</c:v>
                </c:pt>
                <c:pt idx="173">
                  <c:v>10.4901</c:v>
                </c:pt>
                <c:pt idx="174">
                  <c:v>10.498200000000001</c:v>
                </c:pt>
                <c:pt idx="175">
                  <c:v>10.5059</c:v>
                </c:pt>
                <c:pt idx="176">
                  <c:v>10.513299999999999</c:v>
                </c:pt>
                <c:pt idx="177">
                  <c:v>10.520300000000001</c:v>
                </c:pt>
                <c:pt idx="178">
                  <c:v>10.527100000000001</c:v>
                </c:pt>
                <c:pt idx="179">
                  <c:v>10.5335</c:v>
                </c:pt>
                <c:pt idx="180">
                  <c:v>10.5397</c:v>
                </c:pt>
                <c:pt idx="181">
                  <c:v>10.5456</c:v>
                </c:pt>
                <c:pt idx="182">
                  <c:v>10.5512</c:v>
                </c:pt>
                <c:pt idx="183">
                  <c:v>10.5566</c:v>
                </c:pt>
                <c:pt idx="184">
                  <c:v>10.5617</c:v>
                </c:pt>
                <c:pt idx="185">
                  <c:v>10.566599999999999</c:v>
                </c:pt>
                <c:pt idx="186">
                  <c:v>10.571300000000001</c:v>
                </c:pt>
                <c:pt idx="187">
                  <c:v>10.575799999999999</c:v>
                </c:pt>
                <c:pt idx="188">
                  <c:v>10.5801</c:v>
                </c:pt>
                <c:pt idx="189">
                  <c:v>10.584199999999999</c:v>
                </c:pt>
                <c:pt idx="190">
                  <c:v>10.588100000000001</c:v>
                </c:pt>
                <c:pt idx="191">
                  <c:v>10.591799999999999</c:v>
                </c:pt>
                <c:pt idx="192">
                  <c:v>10.5954</c:v>
                </c:pt>
                <c:pt idx="193">
                  <c:v>10.598800000000001</c:v>
                </c:pt>
                <c:pt idx="194">
                  <c:v>10.6021</c:v>
                </c:pt>
                <c:pt idx="195">
                  <c:v>10.6052</c:v>
                </c:pt>
                <c:pt idx="196">
                  <c:v>10.6081</c:v>
                </c:pt>
                <c:pt idx="197">
                  <c:v>10.611000000000001</c:v>
                </c:pt>
                <c:pt idx="198">
                  <c:v>10.6137</c:v>
                </c:pt>
                <c:pt idx="199">
                  <c:v>10.616300000000001</c:v>
                </c:pt>
                <c:pt idx="200">
                  <c:v>10.6188</c:v>
                </c:pt>
                <c:pt idx="201">
                  <c:v>10.6211</c:v>
                </c:pt>
                <c:pt idx="202">
                  <c:v>10.6234</c:v>
                </c:pt>
                <c:pt idx="203">
                  <c:v>10.625500000000001</c:v>
                </c:pt>
                <c:pt idx="204">
                  <c:v>10.627599999999999</c:v>
                </c:pt>
                <c:pt idx="205">
                  <c:v>10.6296</c:v>
                </c:pt>
                <c:pt idx="206">
                  <c:v>10.631399999999999</c:v>
                </c:pt>
                <c:pt idx="207">
                  <c:v>10.6332</c:v>
                </c:pt>
                <c:pt idx="208">
                  <c:v>10.635</c:v>
                </c:pt>
                <c:pt idx="209">
                  <c:v>10.6366</c:v>
                </c:pt>
                <c:pt idx="210">
                  <c:v>10.638199999999999</c:v>
                </c:pt>
                <c:pt idx="211">
                  <c:v>10.6396</c:v>
                </c:pt>
                <c:pt idx="212">
                  <c:v>10.6411</c:v>
                </c:pt>
                <c:pt idx="213">
                  <c:v>10.6424</c:v>
                </c:pt>
                <c:pt idx="214">
                  <c:v>10.643700000000001</c:v>
                </c:pt>
                <c:pt idx="215">
                  <c:v>10.645</c:v>
                </c:pt>
                <c:pt idx="216">
                  <c:v>10.6462</c:v>
                </c:pt>
                <c:pt idx="217">
                  <c:v>10.6473</c:v>
                </c:pt>
                <c:pt idx="218">
                  <c:v>10.648400000000001</c:v>
                </c:pt>
                <c:pt idx="219">
                  <c:v>10.6494</c:v>
                </c:pt>
                <c:pt idx="220">
                  <c:v>10.650399999999999</c:v>
                </c:pt>
                <c:pt idx="221">
                  <c:v>10.651300000000001</c:v>
                </c:pt>
                <c:pt idx="222">
                  <c:v>10.652200000000001</c:v>
                </c:pt>
                <c:pt idx="223">
                  <c:v>10.6531</c:v>
                </c:pt>
                <c:pt idx="224">
                  <c:v>10.6539</c:v>
                </c:pt>
                <c:pt idx="225">
                  <c:v>10.6547</c:v>
                </c:pt>
                <c:pt idx="226">
                  <c:v>10.6554</c:v>
                </c:pt>
                <c:pt idx="227">
                  <c:v>10.6561</c:v>
                </c:pt>
                <c:pt idx="228">
                  <c:v>10.6568</c:v>
                </c:pt>
                <c:pt idx="229">
                  <c:v>10.657400000000001</c:v>
                </c:pt>
                <c:pt idx="230">
                  <c:v>10.658099999999999</c:v>
                </c:pt>
                <c:pt idx="231">
                  <c:v>10.6586</c:v>
                </c:pt>
                <c:pt idx="232">
                  <c:v>10.6592</c:v>
                </c:pt>
                <c:pt idx="233">
                  <c:v>10.659700000000001</c:v>
                </c:pt>
                <c:pt idx="234">
                  <c:v>10.6602</c:v>
                </c:pt>
                <c:pt idx="235">
                  <c:v>10.6607</c:v>
                </c:pt>
                <c:pt idx="236">
                  <c:v>10.661199999999999</c:v>
                </c:pt>
                <c:pt idx="237">
                  <c:v>10.6616</c:v>
                </c:pt>
                <c:pt idx="238">
                  <c:v>10.662100000000001</c:v>
                </c:pt>
                <c:pt idx="239">
                  <c:v>10.6625</c:v>
                </c:pt>
                <c:pt idx="240">
                  <c:v>10.662800000000001</c:v>
                </c:pt>
                <c:pt idx="241">
                  <c:v>10.6632</c:v>
                </c:pt>
                <c:pt idx="242">
                  <c:v>10.663500000000001</c:v>
                </c:pt>
                <c:pt idx="243">
                  <c:v>10.6639</c:v>
                </c:pt>
                <c:pt idx="244">
                  <c:v>10.664199999999999</c:v>
                </c:pt>
                <c:pt idx="245">
                  <c:v>10.6645</c:v>
                </c:pt>
                <c:pt idx="246">
                  <c:v>10.6647</c:v>
                </c:pt>
                <c:pt idx="247">
                  <c:v>10.664999999999999</c:v>
                </c:pt>
                <c:pt idx="248">
                  <c:v>10.6653</c:v>
                </c:pt>
                <c:pt idx="249">
                  <c:v>10.6655</c:v>
                </c:pt>
                <c:pt idx="250">
                  <c:v>10.665699999999999</c:v>
                </c:pt>
                <c:pt idx="251">
                  <c:v>10.665900000000001</c:v>
                </c:pt>
                <c:pt idx="252">
                  <c:v>10.6661</c:v>
                </c:pt>
                <c:pt idx="253">
                  <c:v>10.6663</c:v>
                </c:pt>
                <c:pt idx="254">
                  <c:v>10.666499999999999</c:v>
                </c:pt>
                <c:pt idx="255">
                  <c:v>10.666700000000001</c:v>
                </c:pt>
                <c:pt idx="256">
                  <c:v>10.6668</c:v>
                </c:pt>
                <c:pt idx="257">
                  <c:v>10.667</c:v>
                </c:pt>
                <c:pt idx="258">
                  <c:v>10.6671</c:v>
                </c:pt>
                <c:pt idx="259">
                  <c:v>10.667199999999999</c:v>
                </c:pt>
                <c:pt idx="260">
                  <c:v>10.667299999999999</c:v>
                </c:pt>
                <c:pt idx="261">
                  <c:v>10.667400000000001</c:v>
                </c:pt>
                <c:pt idx="262">
                  <c:v>10.6675</c:v>
                </c:pt>
                <c:pt idx="263">
                  <c:v>10.6676</c:v>
                </c:pt>
                <c:pt idx="264">
                  <c:v>10.6677</c:v>
                </c:pt>
                <c:pt idx="265">
                  <c:v>10.6678</c:v>
                </c:pt>
                <c:pt idx="266">
                  <c:v>10.667899999999999</c:v>
                </c:pt>
                <c:pt idx="267">
                  <c:v>10.667899999999999</c:v>
                </c:pt>
                <c:pt idx="268">
                  <c:v>10.667999999999999</c:v>
                </c:pt>
                <c:pt idx="269">
                  <c:v>10.667999999999999</c:v>
                </c:pt>
                <c:pt idx="270">
                  <c:v>10.667999999999999</c:v>
                </c:pt>
                <c:pt idx="271">
                  <c:v>10.668100000000001</c:v>
                </c:pt>
                <c:pt idx="272">
                  <c:v>10.668100000000001</c:v>
                </c:pt>
                <c:pt idx="273">
                  <c:v>10.668100000000001</c:v>
                </c:pt>
                <c:pt idx="274">
                  <c:v>10.668100000000001</c:v>
                </c:pt>
                <c:pt idx="275">
                  <c:v>10.668100000000001</c:v>
                </c:pt>
                <c:pt idx="276">
                  <c:v>10.668100000000001</c:v>
                </c:pt>
                <c:pt idx="277">
                  <c:v>10.668100000000001</c:v>
                </c:pt>
                <c:pt idx="278">
                  <c:v>10.668100000000001</c:v>
                </c:pt>
                <c:pt idx="279">
                  <c:v>10.667999999999999</c:v>
                </c:pt>
                <c:pt idx="280">
                  <c:v>10.667999999999999</c:v>
                </c:pt>
                <c:pt idx="281">
                  <c:v>10.667899999999999</c:v>
                </c:pt>
                <c:pt idx="282">
                  <c:v>10.667899999999999</c:v>
                </c:pt>
                <c:pt idx="283">
                  <c:v>10.6678</c:v>
                </c:pt>
                <c:pt idx="284">
                  <c:v>10.6678</c:v>
                </c:pt>
                <c:pt idx="285">
                  <c:v>10.6677</c:v>
                </c:pt>
                <c:pt idx="286">
                  <c:v>10.6676</c:v>
                </c:pt>
                <c:pt idx="287">
                  <c:v>10.6675</c:v>
                </c:pt>
                <c:pt idx="288">
                  <c:v>10.667400000000001</c:v>
                </c:pt>
                <c:pt idx="289">
                  <c:v>10.667299999999999</c:v>
                </c:pt>
                <c:pt idx="290">
                  <c:v>10.667199999999999</c:v>
                </c:pt>
                <c:pt idx="291">
                  <c:v>10.667</c:v>
                </c:pt>
                <c:pt idx="292">
                  <c:v>10.6669</c:v>
                </c:pt>
                <c:pt idx="293">
                  <c:v>10.6668</c:v>
                </c:pt>
                <c:pt idx="294">
                  <c:v>10.666600000000001</c:v>
                </c:pt>
                <c:pt idx="295">
                  <c:v>10.666399999999999</c:v>
                </c:pt>
                <c:pt idx="296">
                  <c:v>10.6662</c:v>
                </c:pt>
                <c:pt idx="297">
                  <c:v>10.6661</c:v>
                </c:pt>
                <c:pt idx="298">
                  <c:v>10.665800000000001</c:v>
                </c:pt>
                <c:pt idx="299">
                  <c:v>10.6656</c:v>
                </c:pt>
                <c:pt idx="300">
                  <c:v>10.6654</c:v>
                </c:pt>
                <c:pt idx="301">
                  <c:v>10.6652</c:v>
                </c:pt>
                <c:pt idx="302">
                  <c:v>10.664899999999999</c:v>
                </c:pt>
                <c:pt idx="303">
                  <c:v>10.6646</c:v>
                </c:pt>
                <c:pt idx="304">
                  <c:v>10.664400000000001</c:v>
                </c:pt>
                <c:pt idx="305">
                  <c:v>10.664099999999999</c:v>
                </c:pt>
                <c:pt idx="306">
                  <c:v>10.6637</c:v>
                </c:pt>
                <c:pt idx="307">
                  <c:v>10.663399999999999</c:v>
                </c:pt>
                <c:pt idx="308">
                  <c:v>10.6631</c:v>
                </c:pt>
                <c:pt idx="309">
                  <c:v>10.662699999999999</c:v>
                </c:pt>
                <c:pt idx="310">
                  <c:v>10.6623</c:v>
                </c:pt>
                <c:pt idx="311">
                  <c:v>10.661899999999999</c:v>
                </c:pt>
                <c:pt idx="312">
                  <c:v>10.6615</c:v>
                </c:pt>
                <c:pt idx="313">
                  <c:v>10.661</c:v>
                </c:pt>
                <c:pt idx="314">
                  <c:v>10.660600000000001</c:v>
                </c:pt>
                <c:pt idx="315">
                  <c:v>10.6601</c:v>
                </c:pt>
                <c:pt idx="316">
                  <c:v>10.659599999999999</c:v>
                </c:pt>
                <c:pt idx="317">
                  <c:v>10.659000000000001</c:v>
                </c:pt>
                <c:pt idx="318">
                  <c:v>10.6584</c:v>
                </c:pt>
                <c:pt idx="319">
                  <c:v>10.6578</c:v>
                </c:pt>
                <c:pt idx="320">
                  <c:v>10.6572</c:v>
                </c:pt>
                <c:pt idx="321">
                  <c:v>10.656599999999999</c:v>
                </c:pt>
                <c:pt idx="322">
                  <c:v>10.655900000000001</c:v>
                </c:pt>
                <c:pt idx="323">
                  <c:v>10.655200000000001</c:v>
                </c:pt>
                <c:pt idx="324">
                  <c:v>10.654400000000001</c:v>
                </c:pt>
                <c:pt idx="325">
                  <c:v>10.653600000000001</c:v>
                </c:pt>
                <c:pt idx="326">
                  <c:v>10.652799999999999</c:v>
                </c:pt>
                <c:pt idx="327">
                  <c:v>10.651899999999999</c:v>
                </c:pt>
                <c:pt idx="328">
                  <c:v>10.651</c:v>
                </c:pt>
                <c:pt idx="329">
                  <c:v>10.65</c:v>
                </c:pt>
                <c:pt idx="330">
                  <c:v>10.648999999999999</c:v>
                </c:pt>
                <c:pt idx="331">
                  <c:v>10.648</c:v>
                </c:pt>
                <c:pt idx="332">
                  <c:v>10.6469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10.6433</c:v>
                </c:pt>
                <c:pt idx="336">
                  <c:v>10.641999999999999</c:v>
                </c:pt>
                <c:pt idx="337">
                  <c:v>10.640599999999999</c:v>
                </c:pt>
                <c:pt idx="338">
                  <c:v>10.639200000000001</c:v>
                </c:pt>
                <c:pt idx="339">
                  <c:v>10.637600000000001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10.630800000000001</c:v>
                </c:pt>
                <c:pt idx="344">
                  <c:v>10.6289</c:v>
                </c:pt>
                <c:pt idx="345">
                  <c:v>10.626899999999999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10.610099999999999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10.597799999999999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10.5746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9.9853900000000007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9.7114700000000003</c:v>
                </c:pt>
                <c:pt idx="415">
                  <c:v>9.6710600000000007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9.4939599999999995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9.0571800000000007</c:v>
                </c:pt>
                <c:pt idx="428">
                  <c:v>8.9940899999999999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8.1613100000000003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7.0566199999999997</c:v>
                </c:pt>
                <c:pt idx="451">
                  <c:v>6.9424599999999996</c:v>
                </c:pt>
                <c:pt idx="452">
                  <c:v>6.8260399999999999</c:v>
                </c:pt>
                <c:pt idx="453">
                  <c:v>6.7073900000000002</c:v>
                </c:pt>
                <c:pt idx="454">
                  <c:v>6.5865200000000002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0.67055500000000001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C-4168-83E3-7FFD392CA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5952"/>
        <c:axId val="1687856432"/>
      </c:scatterChart>
      <c:valAx>
        <c:axId val="16878559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2437693422650524"/>
              <c:y val="0.8590436159411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6432"/>
        <c:crosses val="autoZero"/>
        <c:crossBetween val="midCat"/>
      </c:valAx>
      <c:valAx>
        <c:axId val="168785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layout>
            <c:manualLayout>
              <c:xMode val="edge"/>
              <c:yMode val="edge"/>
              <c:x val="1.4925373134328358E-2"/>
              <c:y val="0.36768543697592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5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Gain (dB) vs Frequency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8586089859334967E-2"/>
          <c:y val="0.12455263476680802"/>
          <c:w val="0.78718440336801876"/>
          <c:h val="0.75863185947910361"/>
        </c:manualLayout>
      </c:layout>
      <c:scatterChart>
        <c:scatterStyle val="lineMarker"/>
        <c:varyColors val="1"/>
        <c:ser>
          <c:idx val="0"/>
          <c:order val="0"/>
          <c:tx>
            <c:v>10x (measured)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'PCB - AFS (470n - Capacitor)'!$A$10:$A$30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'PCB - AFS (470n - Capacitor)'!$E$10:$E$30</c:f>
              <c:numCache>
                <c:formatCode>General</c:formatCode>
                <c:ptCount val="21"/>
                <c:pt idx="0">
                  <c:v>-6.0205999132796242</c:v>
                </c:pt>
                <c:pt idx="1">
                  <c:v>3.1177574593478856</c:v>
                </c:pt>
                <c:pt idx="2">
                  <c:v>6.3910980610501511</c:v>
                </c:pt>
                <c:pt idx="3">
                  <c:v>9.2465922090371464</c:v>
                </c:pt>
                <c:pt idx="4">
                  <c:v>10.437630259327777</c:v>
                </c:pt>
                <c:pt idx="5">
                  <c:v>10.615504522527427</c:v>
                </c:pt>
                <c:pt idx="6">
                  <c:v>10.673995582873758</c:v>
                </c:pt>
                <c:pt idx="7">
                  <c:v>10.713930777995266</c:v>
                </c:pt>
                <c:pt idx="8">
                  <c:v>10.732095395741904</c:v>
                </c:pt>
                <c:pt idx="9">
                  <c:v>10.673995582873758</c:v>
                </c:pt>
                <c:pt idx="10">
                  <c:v>10.673995582873758</c:v>
                </c:pt>
                <c:pt idx="11">
                  <c:v>10.596552104713307</c:v>
                </c:pt>
                <c:pt idx="12">
                  <c:v>10.172766123314545</c:v>
                </c:pt>
                <c:pt idx="13">
                  <c:v>9.048307638537743</c:v>
                </c:pt>
                <c:pt idx="14">
                  <c:v>7.6739913911485482</c:v>
                </c:pt>
                <c:pt idx="15">
                  <c:v>5.2027472355586148</c:v>
                </c:pt>
                <c:pt idx="16">
                  <c:v>0.9348680708465239</c:v>
                </c:pt>
                <c:pt idx="17">
                  <c:v>-4.6089784275654786</c:v>
                </c:pt>
                <c:pt idx="18">
                  <c:v>-7.8812470721767163</c:v>
                </c:pt>
                <c:pt idx="19">
                  <c:v>-11.324820466029342</c:v>
                </c:pt>
                <c:pt idx="20">
                  <c:v>-16.04569860200726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B-4B51-9A83-8250E1EE46D8}"/>
            </c:ext>
          </c:extLst>
        </c:ser>
        <c:ser>
          <c:idx val="1"/>
          <c:order val="1"/>
          <c:tx>
            <c:strRef>
              <c:f>'[2]Proteus - AFS (Single-Supply)'!$B$1</c:f>
              <c:strCache>
                <c:ptCount val="1"/>
                <c:pt idx="0">
                  <c:v>Simulated Gain (dB)</c:v>
                </c:pt>
              </c:strCache>
            </c:strRef>
          </c:tx>
          <c:marker>
            <c:symbol val="none"/>
          </c:marker>
          <c:xVal>
            <c:numRef>
              <c:f>'[2]Proteus - AFS (Single-Supply)'!$A$2:$A$502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'[2]Proteus - AFS (Single-Supply)'!$B$2:$B$502</c:f>
              <c:numCache>
                <c:formatCode>General</c:formatCode>
                <c:ptCount val="501"/>
                <c:pt idx="0">
                  <c:v>-5.8578200000000002</c:v>
                </c:pt>
                <c:pt idx="1">
                  <c:v>-5.6623700000000001</c:v>
                </c:pt>
                <c:pt idx="2">
                  <c:v>-5.4671200000000004</c:v>
                </c:pt>
                <c:pt idx="3">
                  <c:v>-5.2721</c:v>
                </c:pt>
                <c:pt idx="4">
                  <c:v>-5.0773000000000001</c:v>
                </c:pt>
                <c:pt idx="5">
                  <c:v>-4.8827499999999997</c:v>
                </c:pt>
                <c:pt idx="6">
                  <c:v>-4.6884399999999999</c:v>
                </c:pt>
                <c:pt idx="7">
                  <c:v>-4.4943900000000001</c:v>
                </c:pt>
                <c:pt idx="8">
                  <c:v>-4.3006200000000003</c:v>
                </c:pt>
                <c:pt idx="9">
                  <c:v>-4.1071299999999997</c:v>
                </c:pt>
                <c:pt idx="10">
                  <c:v>-3.9139300000000001</c:v>
                </c:pt>
                <c:pt idx="11">
                  <c:v>-3.72105</c:v>
                </c:pt>
                <c:pt idx="12">
                  <c:v>-3.5284800000000001</c:v>
                </c:pt>
                <c:pt idx="13">
                  <c:v>-3.3362599999999998</c:v>
                </c:pt>
                <c:pt idx="14">
                  <c:v>-3.14438</c:v>
                </c:pt>
                <c:pt idx="15">
                  <c:v>-2.9528699999999999</c:v>
                </c:pt>
                <c:pt idx="16">
                  <c:v>-2.7617500000000001</c:v>
                </c:pt>
                <c:pt idx="17">
                  <c:v>-2.5710199999999999</c:v>
                </c:pt>
                <c:pt idx="18">
                  <c:v>-2.3807100000000001</c:v>
                </c:pt>
                <c:pt idx="19">
                  <c:v>-2.1908300000000001</c:v>
                </c:pt>
                <c:pt idx="20">
                  <c:v>-2.0014099999999999</c:v>
                </c:pt>
                <c:pt idx="21">
                  <c:v>-1.8124499999999999</c:v>
                </c:pt>
                <c:pt idx="22">
                  <c:v>-1.62399</c:v>
                </c:pt>
                <c:pt idx="23">
                  <c:v>-1.43604</c:v>
                </c:pt>
                <c:pt idx="24">
                  <c:v>-1.2486200000000001</c:v>
                </c:pt>
                <c:pt idx="25">
                  <c:v>-1.06175</c:v>
                </c:pt>
                <c:pt idx="26">
                  <c:v>-0.87545700000000004</c:v>
                </c:pt>
                <c:pt idx="27">
                  <c:v>-0.68976599999999999</c:v>
                </c:pt>
                <c:pt idx="28">
                  <c:v>-0.50469900000000001</c:v>
                </c:pt>
                <c:pt idx="29">
                  <c:v>-0.32028099999999998</c:v>
                </c:pt>
                <c:pt idx="30">
                  <c:v>-0.13653799999999999</c:v>
                </c:pt>
                <c:pt idx="31">
                  <c:v>4.6503900000000001E-2</c:v>
                </c:pt>
                <c:pt idx="32">
                  <c:v>0.22881799999999999</c:v>
                </c:pt>
                <c:pt idx="33">
                  <c:v>0.41037400000000002</c:v>
                </c:pt>
                <c:pt idx="34">
                  <c:v>0.59114599999999995</c:v>
                </c:pt>
                <c:pt idx="35">
                  <c:v>0.77110199999999995</c:v>
                </c:pt>
                <c:pt idx="36">
                  <c:v>0.95021199999999995</c:v>
                </c:pt>
                <c:pt idx="37">
                  <c:v>1.1284400000000001</c:v>
                </c:pt>
                <c:pt idx="38">
                  <c:v>1.3057700000000001</c:v>
                </c:pt>
                <c:pt idx="39">
                  <c:v>1.4821500000000001</c:v>
                </c:pt>
                <c:pt idx="40">
                  <c:v>1.6575500000000001</c:v>
                </c:pt>
                <c:pt idx="41">
                  <c:v>1.83195</c:v>
                </c:pt>
                <c:pt idx="42">
                  <c:v>2.00529</c:v>
                </c:pt>
                <c:pt idx="43">
                  <c:v>2.1775600000000002</c:v>
                </c:pt>
                <c:pt idx="44">
                  <c:v>2.3487100000000001</c:v>
                </c:pt>
                <c:pt idx="45">
                  <c:v>2.5186999999999999</c:v>
                </c:pt>
                <c:pt idx="46">
                  <c:v>2.6875</c:v>
                </c:pt>
                <c:pt idx="47">
                  <c:v>2.8550599999999999</c:v>
                </c:pt>
                <c:pt idx="48">
                  <c:v>3.02136</c:v>
                </c:pt>
                <c:pt idx="49">
                  <c:v>3.18634</c:v>
                </c:pt>
                <c:pt idx="50">
                  <c:v>3.34998</c:v>
                </c:pt>
                <c:pt idx="51">
                  <c:v>3.5122200000000001</c:v>
                </c:pt>
                <c:pt idx="52">
                  <c:v>3.6730299999999998</c:v>
                </c:pt>
                <c:pt idx="53">
                  <c:v>3.8323800000000001</c:v>
                </c:pt>
                <c:pt idx="54">
                  <c:v>3.9902099999999998</c:v>
                </c:pt>
                <c:pt idx="55">
                  <c:v>4.1464800000000004</c:v>
                </c:pt>
                <c:pt idx="56">
                  <c:v>4.3011699999999999</c:v>
                </c:pt>
                <c:pt idx="57">
                  <c:v>4.4542200000000003</c:v>
                </c:pt>
                <c:pt idx="58">
                  <c:v>4.6055900000000003</c:v>
                </c:pt>
                <c:pt idx="59">
                  <c:v>4.7552500000000002</c:v>
                </c:pt>
                <c:pt idx="60">
                  <c:v>4.9031599999999997</c:v>
                </c:pt>
                <c:pt idx="61">
                  <c:v>5.0492699999999999</c:v>
                </c:pt>
                <c:pt idx="62">
                  <c:v>5.1935500000000001</c:v>
                </c:pt>
                <c:pt idx="63">
                  <c:v>5.33596</c:v>
                </c:pt>
                <c:pt idx="64">
                  <c:v>5.4764600000000003</c:v>
                </c:pt>
                <c:pt idx="65">
                  <c:v>5.6150200000000003</c:v>
                </c:pt>
                <c:pt idx="66">
                  <c:v>5.7516100000000003</c:v>
                </c:pt>
                <c:pt idx="67">
                  <c:v>5.8861800000000004</c:v>
                </c:pt>
                <c:pt idx="68">
                  <c:v>6.0187099999999996</c:v>
                </c:pt>
                <c:pt idx="69">
                  <c:v>6.1491600000000002</c:v>
                </c:pt>
                <c:pt idx="70">
                  <c:v>6.27752</c:v>
                </c:pt>
                <c:pt idx="71">
                  <c:v>6.40374</c:v>
                </c:pt>
                <c:pt idx="72">
                  <c:v>6.5278</c:v>
                </c:pt>
                <c:pt idx="73">
                  <c:v>6.6496899999999997</c:v>
                </c:pt>
                <c:pt idx="74">
                  <c:v>6.7693700000000003</c:v>
                </c:pt>
                <c:pt idx="75">
                  <c:v>6.8868200000000002</c:v>
                </c:pt>
                <c:pt idx="76">
                  <c:v>7.00204</c:v>
                </c:pt>
                <c:pt idx="77">
                  <c:v>7.1150000000000002</c:v>
                </c:pt>
                <c:pt idx="78">
                  <c:v>7.2256900000000002</c:v>
                </c:pt>
                <c:pt idx="79">
                  <c:v>7.3341000000000003</c:v>
                </c:pt>
                <c:pt idx="80">
                  <c:v>7.4402200000000001</c:v>
                </c:pt>
                <c:pt idx="81">
                  <c:v>7.5440399999999999</c:v>
                </c:pt>
                <c:pt idx="82">
                  <c:v>7.6455599999999997</c:v>
                </c:pt>
                <c:pt idx="83">
                  <c:v>7.7447800000000004</c:v>
                </c:pt>
                <c:pt idx="84">
                  <c:v>7.8416899999999998</c:v>
                </c:pt>
                <c:pt idx="85">
                  <c:v>7.9363099999999998</c:v>
                </c:pt>
                <c:pt idx="86">
                  <c:v>8.0286399999999993</c:v>
                </c:pt>
                <c:pt idx="87">
                  <c:v>8.1186799999999995</c:v>
                </c:pt>
                <c:pt idx="88">
                  <c:v>8.2064500000000002</c:v>
                </c:pt>
                <c:pt idx="89">
                  <c:v>8.2919499999999999</c:v>
                </c:pt>
                <c:pt idx="90">
                  <c:v>8.3752099999999992</c:v>
                </c:pt>
                <c:pt idx="91">
                  <c:v>8.4562399999999993</c:v>
                </c:pt>
                <c:pt idx="92">
                  <c:v>8.5350699999999993</c:v>
                </c:pt>
                <c:pt idx="93">
                  <c:v>8.6117000000000008</c:v>
                </c:pt>
                <c:pt idx="94">
                  <c:v>8.6861700000000006</c:v>
                </c:pt>
                <c:pt idx="95">
                  <c:v>8.7584999999999997</c:v>
                </c:pt>
                <c:pt idx="96">
                  <c:v>8.8287099999999992</c:v>
                </c:pt>
                <c:pt idx="97">
                  <c:v>8.8968500000000006</c:v>
                </c:pt>
                <c:pt idx="98">
                  <c:v>8.9629300000000001</c:v>
                </c:pt>
                <c:pt idx="99">
                  <c:v>9.02698</c:v>
                </c:pt>
                <c:pt idx="100">
                  <c:v>9.0890599999999999</c:v>
                </c:pt>
                <c:pt idx="101">
                  <c:v>9.1491699999999998</c:v>
                </c:pt>
                <c:pt idx="102">
                  <c:v>9.2073699999999992</c:v>
                </c:pt>
                <c:pt idx="103">
                  <c:v>9.2636900000000004</c:v>
                </c:pt>
                <c:pt idx="104">
                  <c:v>9.3181600000000007</c:v>
                </c:pt>
                <c:pt idx="105">
                  <c:v>9.3708200000000001</c:v>
                </c:pt>
                <c:pt idx="106">
                  <c:v>9.4217200000000005</c:v>
                </c:pt>
                <c:pt idx="107">
                  <c:v>9.4708900000000007</c:v>
                </c:pt>
                <c:pt idx="108">
                  <c:v>9.5183800000000005</c:v>
                </c:pt>
                <c:pt idx="109">
                  <c:v>9.5642099999999992</c:v>
                </c:pt>
                <c:pt idx="110">
                  <c:v>9.6084399999999999</c:v>
                </c:pt>
                <c:pt idx="111">
                  <c:v>9.6511099999999992</c:v>
                </c:pt>
                <c:pt idx="112">
                  <c:v>9.6922499999999996</c:v>
                </c:pt>
                <c:pt idx="113">
                  <c:v>9.7318999999999996</c:v>
                </c:pt>
                <c:pt idx="114">
                  <c:v>9.7701100000000007</c:v>
                </c:pt>
                <c:pt idx="115">
                  <c:v>9.8069199999999999</c:v>
                </c:pt>
                <c:pt idx="116">
                  <c:v>9.8423599999999993</c:v>
                </c:pt>
                <c:pt idx="117">
                  <c:v>9.8764900000000004</c:v>
                </c:pt>
                <c:pt idx="118">
                  <c:v>9.9093199999999992</c:v>
                </c:pt>
                <c:pt idx="119">
                  <c:v>9.9409200000000002</c:v>
                </c:pt>
                <c:pt idx="120">
                  <c:v>9.9712999999999994</c:v>
                </c:pt>
                <c:pt idx="121">
                  <c:v>10.000500000000001</c:v>
                </c:pt>
                <c:pt idx="122">
                  <c:v>10.028600000000001</c:v>
                </c:pt>
                <c:pt idx="123">
                  <c:v>10.0556</c:v>
                </c:pt>
                <c:pt idx="124">
                  <c:v>10.0815</c:v>
                </c:pt>
                <c:pt idx="125">
                  <c:v>10.1065</c:v>
                </c:pt>
                <c:pt idx="126">
                  <c:v>10.1304</c:v>
                </c:pt>
                <c:pt idx="127">
                  <c:v>10.1534</c:v>
                </c:pt>
                <c:pt idx="128">
                  <c:v>10.1754</c:v>
                </c:pt>
                <c:pt idx="129">
                  <c:v>10.1966</c:v>
                </c:pt>
                <c:pt idx="130">
                  <c:v>10.216900000000001</c:v>
                </c:pt>
                <c:pt idx="131">
                  <c:v>10.2364</c:v>
                </c:pt>
                <c:pt idx="132">
                  <c:v>10.255100000000001</c:v>
                </c:pt>
                <c:pt idx="133">
                  <c:v>10.273</c:v>
                </c:pt>
                <c:pt idx="134">
                  <c:v>10.2902</c:v>
                </c:pt>
                <c:pt idx="135">
                  <c:v>10.306699999999999</c:v>
                </c:pt>
                <c:pt idx="136">
                  <c:v>10.3225</c:v>
                </c:pt>
                <c:pt idx="137">
                  <c:v>10.3376</c:v>
                </c:pt>
                <c:pt idx="138">
                  <c:v>10.3521</c:v>
                </c:pt>
                <c:pt idx="139">
                  <c:v>10.366</c:v>
                </c:pt>
                <c:pt idx="140">
                  <c:v>10.379300000000001</c:v>
                </c:pt>
                <c:pt idx="141">
                  <c:v>10.392099999999999</c:v>
                </c:pt>
                <c:pt idx="142">
                  <c:v>10.404299999999999</c:v>
                </c:pt>
                <c:pt idx="143">
                  <c:v>10.416</c:v>
                </c:pt>
                <c:pt idx="144">
                  <c:v>10.427199999999999</c:v>
                </c:pt>
                <c:pt idx="145">
                  <c:v>10.437900000000001</c:v>
                </c:pt>
                <c:pt idx="146">
                  <c:v>10.4482</c:v>
                </c:pt>
                <c:pt idx="147">
                  <c:v>10.458</c:v>
                </c:pt>
                <c:pt idx="148">
                  <c:v>10.4674</c:v>
                </c:pt>
                <c:pt idx="149">
                  <c:v>10.4764</c:v>
                </c:pt>
                <c:pt idx="150">
                  <c:v>10.484999999999999</c:v>
                </c:pt>
                <c:pt idx="151">
                  <c:v>10.4933</c:v>
                </c:pt>
                <c:pt idx="152">
                  <c:v>10.501200000000001</c:v>
                </c:pt>
                <c:pt idx="153">
                  <c:v>10.508699999999999</c:v>
                </c:pt>
                <c:pt idx="154">
                  <c:v>10.5159</c:v>
                </c:pt>
                <c:pt idx="155">
                  <c:v>10.5228</c:v>
                </c:pt>
                <c:pt idx="156">
                  <c:v>10.529400000000001</c:v>
                </c:pt>
                <c:pt idx="157">
                  <c:v>10.5357</c:v>
                </c:pt>
                <c:pt idx="158">
                  <c:v>10.5418</c:v>
                </c:pt>
                <c:pt idx="159">
                  <c:v>10.547499999999999</c:v>
                </c:pt>
                <c:pt idx="160">
                  <c:v>10.553100000000001</c:v>
                </c:pt>
                <c:pt idx="161">
                  <c:v>10.558400000000001</c:v>
                </c:pt>
                <c:pt idx="162">
                  <c:v>10.5634</c:v>
                </c:pt>
                <c:pt idx="163">
                  <c:v>10.568199999999999</c:v>
                </c:pt>
                <c:pt idx="164">
                  <c:v>10.572800000000001</c:v>
                </c:pt>
                <c:pt idx="165">
                  <c:v>10.577299999999999</c:v>
                </c:pt>
                <c:pt idx="166">
                  <c:v>10.5815</c:v>
                </c:pt>
                <c:pt idx="167">
                  <c:v>10.5855</c:v>
                </c:pt>
                <c:pt idx="168">
                  <c:v>10.589399999999999</c:v>
                </c:pt>
                <c:pt idx="169">
                  <c:v>10.593</c:v>
                </c:pt>
                <c:pt idx="170">
                  <c:v>10.5966</c:v>
                </c:pt>
                <c:pt idx="171">
                  <c:v>10.5999</c:v>
                </c:pt>
                <c:pt idx="172">
                  <c:v>10.6031</c:v>
                </c:pt>
                <c:pt idx="173">
                  <c:v>10.606199999999999</c:v>
                </c:pt>
                <c:pt idx="174">
                  <c:v>10.6091</c:v>
                </c:pt>
                <c:pt idx="175">
                  <c:v>10.6119</c:v>
                </c:pt>
                <c:pt idx="176">
                  <c:v>10.614599999999999</c:v>
                </c:pt>
                <c:pt idx="177">
                  <c:v>10.6172</c:v>
                </c:pt>
                <c:pt idx="178">
                  <c:v>10.6196</c:v>
                </c:pt>
                <c:pt idx="179">
                  <c:v>10.622</c:v>
                </c:pt>
                <c:pt idx="180">
                  <c:v>10.6242</c:v>
                </c:pt>
                <c:pt idx="181">
                  <c:v>10.626300000000001</c:v>
                </c:pt>
                <c:pt idx="182">
                  <c:v>10.628399999999999</c:v>
                </c:pt>
                <c:pt idx="183">
                  <c:v>10.6303</c:v>
                </c:pt>
                <c:pt idx="184">
                  <c:v>10.632199999999999</c:v>
                </c:pt>
                <c:pt idx="185">
                  <c:v>10.634</c:v>
                </c:pt>
                <c:pt idx="186">
                  <c:v>10.6357</c:v>
                </c:pt>
                <c:pt idx="187">
                  <c:v>10.6373</c:v>
                </c:pt>
                <c:pt idx="188">
                  <c:v>10.6388</c:v>
                </c:pt>
                <c:pt idx="189">
                  <c:v>10.6403</c:v>
                </c:pt>
                <c:pt idx="190">
                  <c:v>10.6417</c:v>
                </c:pt>
                <c:pt idx="191">
                  <c:v>10.6431</c:v>
                </c:pt>
                <c:pt idx="192">
                  <c:v>10.644399999999999</c:v>
                </c:pt>
                <c:pt idx="193">
                  <c:v>10.6456</c:v>
                </c:pt>
                <c:pt idx="194">
                  <c:v>10.646800000000001</c:v>
                </c:pt>
                <c:pt idx="195">
                  <c:v>10.6479</c:v>
                </c:pt>
                <c:pt idx="196">
                  <c:v>10.648999999999999</c:v>
                </c:pt>
                <c:pt idx="197">
                  <c:v>10.65</c:v>
                </c:pt>
                <c:pt idx="198">
                  <c:v>10.651</c:v>
                </c:pt>
                <c:pt idx="199">
                  <c:v>10.651899999999999</c:v>
                </c:pt>
                <c:pt idx="200">
                  <c:v>10.652799999999999</c:v>
                </c:pt>
                <c:pt idx="201">
                  <c:v>10.653700000000001</c:v>
                </c:pt>
                <c:pt idx="202">
                  <c:v>10.654500000000001</c:v>
                </c:pt>
                <c:pt idx="203">
                  <c:v>10.6553</c:v>
                </c:pt>
                <c:pt idx="204">
                  <c:v>10.656000000000001</c:v>
                </c:pt>
                <c:pt idx="205">
                  <c:v>10.656700000000001</c:v>
                </c:pt>
                <c:pt idx="206">
                  <c:v>10.657400000000001</c:v>
                </c:pt>
                <c:pt idx="207">
                  <c:v>10.657999999999999</c:v>
                </c:pt>
                <c:pt idx="208">
                  <c:v>10.6587</c:v>
                </c:pt>
                <c:pt idx="209">
                  <c:v>10.6593</c:v>
                </c:pt>
                <c:pt idx="210">
                  <c:v>10.659800000000001</c:v>
                </c:pt>
                <c:pt idx="211">
                  <c:v>10.660399999999999</c:v>
                </c:pt>
                <c:pt idx="212">
                  <c:v>10.6609</c:v>
                </c:pt>
                <c:pt idx="213">
                  <c:v>10.6614</c:v>
                </c:pt>
                <c:pt idx="214">
                  <c:v>10.661799999999999</c:v>
                </c:pt>
                <c:pt idx="215">
                  <c:v>10.6623</c:v>
                </c:pt>
                <c:pt idx="216">
                  <c:v>10.662699999999999</c:v>
                </c:pt>
                <c:pt idx="217">
                  <c:v>10.6631</c:v>
                </c:pt>
                <c:pt idx="218">
                  <c:v>10.663500000000001</c:v>
                </c:pt>
                <c:pt idx="219">
                  <c:v>10.6639</c:v>
                </c:pt>
                <c:pt idx="220">
                  <c:v>10.664199999999999</c:v>
                </c:pt>
                <c:pt idx="221">
                  <c:v>10.6645</c:v>
                </c:pt>
                <c:pt idx="222">
                  <c:v>10.664899999999999</c:v>
                </c:pt>
                <c:pt idx="223">
                  <c:v>10.6652</c:v>
                </c:pt>
                <c:pt idx="224">
                  <c:v>10.6655</c:v>
                </c:pt>
                <c:pt idx="225">
                  <c:v>10.665699999999999</c:v>
                </c:pt>
                <c:pt idx="226">
                  <c:v>10.666</c:v>
                </c:pt>
                <c:pt idx="227">
                  <c:v>10.6662</c:v>
                </c:pt>
                <c:pt idx="228">
                  <c:v>10.666499999999999</c:v>
                </c:pt>
                <c:pt idx="229">
                  <c:v>10.666700000000001</c:v>
                </c:pt>
                <c:pt idx="230">
                  <c:v>10.6669</c:v>
                </c:pt>
                <c:pt idx="231">
                  <c:v>10.6671</c:v>
                </c:pt>
                <c:pt idx="232">
                  <c:v>10.667299999999999</c:v>
                </c:pt>
                <c:pt idx="233">
                  <c:v>10.6675</c:v>
                </c:pt>
                <c:pt idx="234">
                  <c:v>10.6677</c:v>
                </c:pt>
                <c:pt idx="235">
                  <c:v>10.6678</c:v>
                </c:pt>
                <c:pt idx="236">
                  <c:v>10.667999999999999</c:v>
                </c:pt>
                <c:pt idx="237">
                  <c:v>10.668200000000001</c:v>
                </c:pt>
                <c:pt idx="238">
                  <c:v>10.6683</c:v>
                </c:pt>
                <c:pt idx="239">
                  <c:v>10.6684</c:v>
                </c:pt>
                <c:pt idx="240">
                  <c:v>10.6686</c:v>
                </c:pt>
                <c:pt idx="241">
                  <c:v>10.668699999999999</c:v>
                </c:pt>
                <c:pt idx="242">
                  <c:v>10.668799999999999</c:v>
                </c:pt>
                <c:pt idx="243">
                  <c:v>10.668900000000001</c:v>
                </c:pt>
                <c:pt idx="244">
                  <c:v>10.669</c:v>
                </c:pt>
                <c:pt idx="245">
                  <c:v>10.6691</c:v>
                </c:pt>
                <c:pt idx="246">
                  <c:v>10.6692</c:v>
                </c:pt>
                <c:pt idx="247">
                  <c:v>10.6693</c:v>
                </c:pt>
                <c:pt idx="248">
                  <c:v>10.6693</c:v>
                </c:pt>
                <c:pt idx="249">
                  <c:v>10.6694</c:v>
                </c:pt>
                <c:pt idx="250">
                  <c:v>10.669499999999999</c:v>
                </c:pt>
                <c:pt idx="251">
                  <c:v>10.669499999999999</c:v>
                </c:pt>
                <c:pt idx="252">
                  <c:v>10.669600000000001</c:v>
                </c:pt>
                <c:pt idx="253">
                  <c:v>10.669600000000001</c:v>
                </c:pt>
                <c:pt idx="254">
                  <c:v>10.669700000000001</c:v>
                </c:pt>
                <c:pt idx="255">
                  <c:v>10.669700000000001</c:v>
                </c:pt>
                <c:pt idx="256">
                  <c:v>10.669700000000001</c:v>
                </c:pt>
                <c:pt idx="257">
                  <c:v>10.6698</c:v>
                </c:pt>
                <c:pt idx="258">
                  <c:v>10.6698</c:v>
                </c:pt>
                <c:pt idx="259">
                  <c:v>10.6698</c:v>
                </c:pt>
                <c:pt idx="260">
                  <c:v>10.6698</c:v>
                </c:pt>
                <c:pt idx="261">
                  <c:v>10.6699</c:v>
                </c:pt>
                <c:pt idx="262">
                  <c:v>10.6699</c:v>
                </c:pt>
                <c:pt idx="263">
                  <c:v>10.6699</c:v>
                </c:pt>
                <c:pt idx="264">
                  <c:v>10.6699</c:v>
                </c:pt>
                <c:pt idx="265">
                  <c:v>10.6699</c:v>
                </c:pt>
                <c:pt idx="266">
                  <c:v>10.6698</c:v>
                </c:pt>
                <c:pt idx="267">
                  <c:v>10.6698</c:v>
                </c:pt>
                <c:pt idx="268">
                  <c:v>10.6698</c:v>
                </c:pt>
                <c:pt idx="269">
                  <c:v>10.6698</c:v>
                </c:pt>
                <c:pt idx="270">
                  <c:v>10.6698</c:v>
                </c:pt>
                <c:pt idx="271">
                  <c:v>10.669700000000001</c:v>
                </c:pt>
                <c:pt idx="272">
                  <c:v>10.669700000000001</c:v>
                </c:pt>
                <c:pt idx="273">
                  <c:v>10.669700000000001</c:v>
                </c:pt>
                <c:pt idx="274">
                  <c:v>10.669600000000001</c:v>
                </c:pt>
                <c:pt idx="275">
                  <c:v>10.669600000000001</c:v>
                </c:pt>
                <c:pt idx="276">
                  <c:v>10.669499999999999</c:v>
                </c:pt>
                <c:pt idx="277">
                  <c:v>10.6694</c:v>
                </c:pt>
                <c:pt idx="278">
                  <c:v>10.6694</c:v>
                </c:pt>
                <c:pt idx="279">
                  <c:v>10.6693</c:v>
                </c:pt>
                <c:pt idx="280">
                  <c:v>10.6692</c:v>
                </c:pt>
                <c:pt idx="281">
                  <c:v>10.6691</c:v>
                </c:pt>
                <c:pt idx="282">
                  <c:v>10.669</c:v>
                </c:pt>
                <c:pt idx="283">
                  <c:v>10.668900000000001</c:v>
                </c:pt>
                <c:pt idx="284">
                  <c:v>10.668799999999999</c:v>
                </c:pt>
                <c:pt idx="285">
                  <c:v>10.668699999999999</c:v>
                </c:pt>
                <c:pt idx="286">
                  <c:v>10.6686</c:v>
                </c:pt>
                <c:pt idx="287">
                  <c:v>10.6685</c:v>
                </c:pt>
                <c:pt idx="288">
                  <c:v>10.6684</c:v>
                </c:pt>
                <c:pt idx="289">
                  <c:v>10.668200000000001</c:v>
                </c:pt>
                <c:pt idx="290">
                  <c:v>10.668100000000001</c:v>
                </c:pt>
                <c:pt idx="291">
                  <c:v>10.667899999999999</c:v>
                </c:pt>
                <c:pt idx="292">
                  <c:v>10.6678</c:v>
                </c:pt>
                <c:pt idx="293">
                  <c:v>10.6676</c:v>
                </c:pt>
                <c:pt idx="294">
                  <c:v>10.667400000000001</c:v>
                </c:pt>
                <c:pt idx="295">
                  <c:v>10.667199999999999</c:v>
                </c:pt>
                <c:pt idx="296">
                  <c:v>10.667</c:v>
                </c:pt>
                <c:pt idx="297">
                  <c:v>10.6668</c:v>
                </c:pt>
                <c:pt idx="298">
                  <c:v>10.666600000000001</c:v>
                </c:pt>
                <c:pt idx="299">
                  <c:v>10.666399999999999</c:v>
                </c:pt>
                <c:pt idx="300">
                  <c:v>10.6661</c:v>
                </c:pt>
                <c:pt idx="301">
                  <c:v>10.665900000000001</c:v>
                </c:pt>
                <c:pt idx="302">
                  <c:v>10.6656</c:v>
                </c:pt>
                <c:pt idx="303">
                  <c:v>10.6653</c:v>
                </c:pt>
                <c:pt idx="304">
                  <c:v>10.664999999999999</c:v>
                </c:pt>
                <c:pt idx="305">
                  <c:v>10.6647</c:v>
                </c:pt>
                <c:pt idx="306">
                  <c:v>10.664400000000001</c:v>
                </c:pt>
                <c:pt idx="307">
                  <c:v>10.664</c:v>
                </c:pt>
                <c:pt idx="308">
                  <c:v>10.6637</c:v>
                </c:pt>
                <c:pt idx="309">
                  <c:v>10.6633</c:v>
                </c:pt>
                <c:pt idx="310">
                  <c:v>10.6629</c:v>
                </c:pt>
                <c:pt idx="311">
                  <c:v>10.6625</c:v>
                </c:pt>
                <c:pt idx="312">
                  <c:v>10.662000000000001</c:v>
                </c:pt>
                <c:pt idx="313">
                  <c:v>10.6616</c:v>
                </c:pt>
                <c:pt idx="314">
                  <c:v>10.661099999999999</c:v>
                </c:pt>
                <c:pt idx="315">
                  <c:v>10.660600000000001</c:v>
                </c:pt>
                <c:pt idx="316">
                  <c:v>10.6601</c:v>
                </c:pt>
                <c:pt idx="317">
                  <c:v>10.6595</c:v>
                </c:pt>
                <c:pt idx="318">
                  <c:v>10.659000000000001</c:v>
                </c:pt>
                <c:pt idx="319">
                  <c:v>10.6584</c:v>
                </c:pt>
                <c:pt idx="320">
                  <c:v>10.6577</c:v>
                </c:pt>
                <c:pt idx="321">
                  <c:v>10.6571</c:v>
                </c:pt>
                <c:pt idx="322">
                  <c:v>10.6564</c:v>
                </c:pt>
                <c:pt idx="323">
                  <c:v>10.6556</c:v>
                </c:pt>
                <c:pt idx="324">
                  <c:v>10.6549</c:v>
                </c:pt>
                <c:pt idx="325">
                  <c:v>10.6541</c:v>
                </c:pt>
                <c:pt idx="326">
                  <c:v>10.6533</c:v>
                </c:pt>
                <c:pt idx="327">
                  <c:v>10.6524</c:v>
                </c:pt>
                <c:pt idx="328">
                  <c:v>10.6515</c:v>
                </c:pt>
                <c:pt idx="329">
                  <c:v>10.650499999999999</c:v>
                </c:pt>
                <c:pt idx="330">
                  <c:v>10.6495</c:v>
                </c:pt>
                <c:pt idx="331">
                  <c:v>10.6485</c:v>
                </c:pt>
                <c:pt idx="332">
                  <c:v>10.647399999999999</c:v>
                </c:pt>
                <c:pt idx="333">
                  <c:v>10.6462</c:v>
                </c:pt>
                <c:pt idx="334">
                  <c:v>10.645</c:v>
                </c:pt>
                <c:pt idx="335">
                  <c:v>10.643700000000001</c:v>
                </c:pt>
                <c:pt idx="336">
                  <c:v>10.6424</c:v>
                </c:pt>
                <c:pt idx="337">
                  <c:v>10.641</c:v>
                </c:pt>
                <c:pt idx="338">
                  <c:v>10.6396</c:v>
                </c:pt>
                <c:pt idx="339">
                  <c:v>10.6381</c:v>
                </c:pt>
                <c:pt idx="340">
                  <c:v>10.6365</c:v>
                </c:pt>
                <c:pt idx="341">
                  <c:v>10.6348</c:v>
                </c:pt>
                <c:pt idx="342">
                  <c:v>10.633100000000001</c:v>
                </c:pt>
                <c:pt idx="343">
                  <c:v>10.6313</c:v>
                </c:pt>
                <c:pt idx="344">
                  <c:v>10.6294</c:v>
                </c:pt>
                <c:pt idx="345">
                  <c:v>10.6274</c:v>
                </c:pt>
                <c:pt idx="346">
                  <c:v>10.625299999999999</c:v>
                </c:pt>
                <c:pt idx="347">
                  <c:v>10.623100000000001</c:v>
                </c:pt>
                <c:pt idx="348">
                  <c:v>10.620799999999999</c:v>
                </c:pt>
                <c:pt idx="349">
                  <c:v>10.618399999999999</c:v>
                </c:pt>
                <c:pt idx="350">
                  <c:v>10.6159</c:v>
                </c:pt>
                <c:pt idx="351">
                  <c:v>10.613300000000001</c:v>
                </c:pt>
                <c:pt idx="352">
                  <c:v>10.6105</c:v>
                </c:pt>
                <c:pt idx="353">
                  <c:v>10.607699999999999</c:v>
                </c:pt>
                <c:pt idx="354">
                  <c:v>10.604699999999999</c:v>
                </c:pt>
                <c:pt idx="355">
                  <c:v>10.6015</c:v>
                </c:pt>
                <c:pt idx="356">
                  <c:v>10.5982</c:v>
                </c:pt>
                <c:pt idx="357">
                  <c:v>10.594799999999999</c:v>
                </c:pt>
                <c:pt idx="358">
                  <c:v>10.591200000000001</c:v>
                </c:pt>
                <c:pt idx="359">
                  <c:v>10.587400000000001</c:v>
                </c:pt>
                <c:pt idx="360">
                  <c:v>10.583500000000001</c:v>
                </c:pt>
                <c:pt idx="361">
                  <c:v>10.5794</c:v>
                </c:pt>
                <c:pt idx="362">
                  <c:v>10.575100000000001</c:v>
                </c:pt>
                <c:pt idx="363">
                  <c:v>10.570499999999999</c:v>
                </c:pt>
                <c:pt idx="364">
                  <c:v>10.565799999999999</c:v>
                </c:pt>
                <c:pt idx="365">
                  <c:v>10.5609</c:v>
                </c:pt>
                <c:pt idx="366">
                  <c:v>10.5557</c:v>
                </c:pt>
                <c:pt idx="367">
                  <c:v>10.5503</c:v>
                </c:pt>
                <c:pt idx="368">
                  <c:v>10.544700000000001</c:v>
                </c:pt>
                <c:pt idx="369">
                  <c:v>10.5388</c:v>
                </c:pt>
                <c:pt idx="370">
                  <c:v>10.5326</c:v>
                </c:pt>
                <c:pt idx="371">
                  <c:v>10.5261</c:v>
                </c:pt>
                <c:pt idx="372">
                  <c:v>10.519399999999999</c:v>
                </c:pt>
                <c:pt idx="373">
                  <c:v>10.5123</c:v>
                </c:pt>
                <c:pt idx="374">
                  <c:v>10.504899999999999</c:v>
                </c:pt>
                <c:pt idx="375">
                  <c:v>10.497199999999999</c:v>
                </c:pt>
                <c:pt idx="376">
                  <c:v>10.4892</c:v>
                </c:pt>
                <c:pt idx="377">
                  <c:v>10.480700000000001</c:v>
                </c:pt>
                <c:pt idx="378">
                  <c:v>10.4719</c:v>
                </c:pt>
                <c:pt idx="379">
                  <c:v>10.4627</c:v>
                </c:pt>
                <c:pt idx="380">
                  <c:v>10.453099999999999</c:v>
                </c:pt>
                <c:pt idx="381">
                  <c:v>10.443099999999999</c:v>
                </c:pt>
                <c:pt idx="382">
                  <c:v>10.432600000000001</c:v>
                </c:pt>
                <c:pt idx="383">
                  <c:v>10.4216</c:v>
                </c:pt>
                <c:pt idx="384">
                  <c:v>10.4102</c:v>
                </c:pt>
                <c:pt idx="385">
                  <c:v>10.398199999999999</c:v>
                </c:pt>
                <c:pt idx="386">
                  <c:v>10.3857</c:v>
                </c:pt>
                <c:pt idx="387">
                  <c:v>10.3727</c:v>
                </c:pt>
                <c:pt idx="388">
                  <c:v>10.3591</c:v>
                </c:pt>
                <c:pt idx="389">
                  <c:v>10.344900000000001</c:v>
                </c:pt>
                <c:pt idx="390">
                  <c:v>10.3301</c:v>
                </c:pt>
                <c:pt idx="391">
                  <c:v>10.3146</c:v>
                </c:pt>
                <c:pt idx="392">
                  <c:v>10.298500000000001</c:v>
                </c:pt>
                <c:pt idx="393">
                  <c:v>10.281599999999999</c:v>
                </c:pt>
                <c:pt idx="394">
                  <c:v>10.264099999999999</c:v>
                </c:pt>
                <c:pt idx="395">
                  <c:v>10.245799999999999</c:v>
                </c:pt>
                <c:pt idx="396">
                  <c:v>10.226699999999999</c:v>
                </c:pt>
                <c:pt idx="397">
                  <c:v>10.206799999999999</c:v>
                </c:pt>
                <c:pt idx="398">
                  <c:v>10.186</c:v>
                </c:pt>
                <c:pt idx="399">
                  <c:v>10.164400000000001</c:v>
                </c:pt>
                <c:pt idx="400">
                  <c:v>10.1419</c:v>
                </c:pt>
                <c:pt idx="401">
                  <c:v>10.118399999999999</c:v>
                </c:pt>
                <c:pt idx="402">
                  <c:v>10.093999999999999</c:v>
                </c:pt>
                <c:pt idx="403">
                  <c:v>10.0686</c:v>
                </c:pt>
                <c:pt idx="404">
                  <c:v>10.0421</c:v>
                </c:pt>
                <c:pt idx="405">
                  <c:v>10.0146</c:v>
                </c:pt>
                <c:pt idx="406">
                  <c:v>9.9859299999999998</c:v>
                </c:pt>
                <c:pt idx="407">
                  <c:v>9.9561299999999999</c:v>
                </c:pt>
                <c:pt idx="408">
                  <c:v>9.9251400000000007</c:v>
                </c:pt>
                <c:pt idx="409">
                  <c:v>9.8929200000000002</c:v>
                </c:pt>
                <c:pt idx="410">
                  <c:v>9.8594399999999993</c:v>
                </c:pt>
                <c:pt idx="411">
                  <c:v>9.8246599999999997</c:v>
                </c:pt>
                <c:pt idx="412">
                  <c:v>9.7885299999999997</c:v>
                </c:pt>
                <c:pt idx="413">
                  <c:v>9.7510200000000005</c:v>
                </c:pt>
                <c:pt idx="414">
                  <c:v>9.7120899999999999</c:v>
                </c:pt>
                <c:pt idx="415">
                  <c:v>9.6716899999999999</c:v>
                </c:pt>
                <c:pt idx="416">
                  <c:v>9.6297899999999998</c:v>
                </c:pt>
                <c:pt idx="417">
                  <c:v>9.5863399999999999</c:v>
                </c:pt>
                <c:pt idx="418">
                  <c:v>9.5413099999999993</c:v>
                </c:pt>
                <c:pt idx="419">
                  <c:v>9.4946400000000004</c:v>
                </c:pt>
                <c:pt idx="420">
                  <c:v>9.4463200000000001</c:v>
                </c:pt>
                <c:pt idx="421">
                  <c:v>9.3962800000000009</c:v>
                </c:pt>
                <c:pt idx="422">
                  <c:v>9.3444900000000004</c:v>
                </c:pt>
                <c:pt idx="423">
                  <c:v>9.2909199999999998</c:v>
                </c:pt>
                <c:pt idx="424">
                  <c:v>9.2355300000000007</c:v>
                </c:pt>
                <c:pt idx="425">
                  <c:v>9.1782699999999995</c:v>
                </c:pt>
                <c:pt idx="426">
                  <c:v>9.1191099999999992</c:v>
                </c:pt>
                <c:pt idx="427">
                  <c:v>9.0580099999999995</c:v>
                </c:pt>
                <c:pt idx="428">
                  <c:v>8.9949399999999997</c:v>
                </c:pt>
                <c:pt idx="429">
                  <c:v>8.9298699999999993</c:v>
                </c:pt>
                <c:pt idx="430">
                  <c:v>8.8627599999999997</c:v>
                </c:pt>
                <c:pt idx="431">
                  <c:v>8.7935800000000004</c:v>
                </c:pt>
                <c:pt idx="432">
                  <c:v>8.7223100000000002</c:v>
                </c:pt>
                <c:pt idx="433">
                  <c:v>8.6488999999999994</c:v>
                </c:pt>
                <c:pt idx="434">
                  <c:v>8.5733499999999996</c:v>
                </c:pt>
                <c:pt idx="435">
                  <c:v>8.4956200000000006</c:v>
                </c:pt>
                <c:pt idx="436">
                  <c:v>8.4156899999999997</c:v>
                </c:pt>
                <c:pt idx="437">
                  <c:v>8.3335399999999993</c:v>
                </c:pt>
                <c:pt idx="438">
                  <c:v>8.2491500000000002</c:v>
                </c:pt>
                <c:pt idx="439">
                  <c:v>8.1625099999999993</c:v>
                </c:pt>
                <c:pt idx="440">
                  <c:v>8.0736000000000008</c:v>
                </c:pt>
                <c:pt idx="441">
                  <c:v>7.9824099999999998</c:v>
                </c:pt>
                <c:pt idx="442">
                  <c:v>7.8889300000000002</c:v>
                </c:pt>
                <c:pt idx="443">
                  <c:v>7.7931600000000003</c:v>
                </c:pt>
                <c:pt idx="444">
                  <c:v>7.6950799999999999</c:v>
                </c:pt>
                <c:pt idx="445">
                  <c:v>7.5947100000000001</c:v>
                </c:pt>
                <c:pt idx="446">
                  <c:v>7.4920299999999997</c:v>
                </c:pt>
                <c:pt idx="447">
                  <c:v>7.38706</c:v>
                </c:pt>
                <c:pt idx="448">
                  <c:v>7.2797900000000002</c:v>
                </c:pt>
                <c:pt idx="449">
                  <c:v>7.1702300000000001</c:v>
                </c:pt>
                <c:pt idx="450">
                  <c:v>7.0584100000000003</c:v>
                </c:pt>
                <c:pt idx="451">
                  <c:v>6.9443099999999998</c:v>
                </c:pt>
                <c:pt idx="452">
                  <c:v>6.8279699999999997</c:v>
                </c:pt>
                <c:pt idx="453">
                  <c:v>6.7093999999999996</c:v>
                </c:pt>
                <c:pt idx="454">
                  <c:v>6.5886100000000001</c:v>
                </c:pt>
                <c:pt idx="455">
                  <c:v>6.46563</c:v>
                </c:pt>
                <c:pt idx="456">
                  <c:v>6.34049</c:v>
                </c:pt>
                <c:pt idx="457">
                  <c:v>6.2131999999999996</c:v>
                </c:pt>
                <c:pt idx="458">
                  <c:v>6.0837899999999996</c:v>
                </c:pt>
                <c:pt idx="459">
                  <c:v>5.9523000000000001</c:v>
                </c:pt>
                <c:pt idx="460">
                  <c:v>5.8187499999999996</c:v>
                </c:pt>
                <c:pt idx="461">
                  <c:v>5.6831699999999996</c:v>
                </c:pt>
                <c:pt idx="462">
                  <c:v>5.5455899999999998</c:v>
                </c:pt>
                <c:pt idx="463">
                  <c:v>5.4060600000000001</c:v>
                </c:pt>
                <c:pt idx="464">
                  <c:v>5.2646100000000002</c:v>
                </c:pt>
                <c:pt idx="465">
                  <c:v>5.1212600000000004</c:v>
                </c:pt>
                <c:pt idx="466">
                  <c:v>4.97607</c:v>
                </c:pt>
                <c:pt idx="467">
                  <c:v>4.8290699999999998</c:v>
                </c:pt>
                <c:pt idx="468">
                  <c:v>4.6802900000000003</c:v>
                </c:pt>
                <c:pt idx="469">
                  <c:v>4.5297799999999997</c:v>
                </c:pt>
                <c:pt idx="470">
                  <c:v>4.3775700000000004</c:v>
                </c:pt>
                <c:pt idx="471">
                  <c:v>4.2237200000000001</c:v>
                </c:pt>
                <c:pt idx="472">
                  <c:v>4.0682400000000003</c:v>
                </c:pt>
                <c:pt idx="473">
                  <c:v>3.9112</c:v>
                </c:pt>
                <c:pt idx="474">
                  <c:v>3.7526299999999999</c:v>
                </c:pt>
                <c:pt idx="475">
                  <c:v>3.5925600000000002</c:v>
                </c:pt>
                <c:pt idx="476">
                  <c:v>3.4310499999999999</c:v>
                </c:pt>
                <c:pt idx="477">
                  <c:v>3.2681300000000002</c:v>
                </c:pt>
                <c:pt idx="478">
                  <c:v>3.1038399999999999</c:v>
                </c:pt>
                <c:pt idx="479">
                  <c:v>2.9382199999999998</c:v>
                </c:pt>
                <c:pt idx="480">
                  <c:v>2.7713100000000002</c:v>
                </c:pt>
                <c:pt idx="481">
                  <c:v>2.6031499999999999</c:v>
                </c:pt>
                <c:pt idx="482">
                  <c:v>2.4337800000000001</c:v>
                </c:pt>
                <c:pt idx="483">
                  <c:v>2.2632400000000001</c:v>
                </c:pt>
                <c:pt idx="484">
                  <c:v>2.0915599999999999</c:v>
                </c:pt>
                <c:pt idx="485">
                  <c:v>1.9187799999999999</c:v>
                </c:pt>
                <c:pt idx="486">
                  <c:v>1.74495</c:v>
                </c:pt>
                <c:pt idx="487">
                  <c:v>1.57009</c:v>
                </c:pt>
                <c:pt idx="488">
                  <c:v>1.3942300000000001</c:v>
                </c:pt>
                <c:pt idx="489">
                  <c:v>1.2174199999999999</c:v>
                </c:pt>
                <c:pt idx="490">
                  <c:v>1.03969</c:v>
                </c:pt>
                <c:pt idx="491">
                  <c:v>0.86106199999999999</c:v>
                </c:pt>
                <c:pt idx="492">
                  <c:v>0.68157800000000002</c:v>
                </c:pt>
                <c:pt idx="493">
                  <c:v>0.50126700000000002</c:v>
                </c:pt>
                <c:pt idx="494">
                  <c:v>0.320158</c:v>
                </c:pt>
                <c:pt idx="495">
                  <c:v>0.13828099999999999</c:v>
                </c:pt>
                <c:pt idx="496">
                  <c:v>-4.4334699999999998E-2</c:v>
                </c:pt>
                <c:pt idx="497">
                  <c:v>-0.227662</c:v>
                </c:pt>
                <c:pt idx="498">
                  <c:v>-0.41167300000000001</c:v>
                </c:pt>
                <c:pt idx="499">
                  <c:v>-0.59634299999999996</c:v>
                </c:pt>
                <c:pt idx="500">
                  <c:v>-0.78164500000000003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8B-4B51-9A83-8250E1EE4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 (Hz)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chemeClr val="bg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Gain (dB)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10"/>
        <c:crosses val="autoZero"/>
        <c:crossBetween val="midCat"/>
        <c:majorUnit val="1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Gain (dB) vs Frequency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8586089859334967E-2"/>
          <c:y val="0.12455263476680802"/>
          <c:w val="0.78718440336801876"/>
          <c:h val="0.75863185947910361"/>
        </c:manualLayout>
      </c:layout>
      <c:scatterChart>
        <c:scatterStyle val="lineMarker"/>
        <c:varyColors val="1"/>
        <c:ser>
          <c:idx val="0"/>
          <c:order val="0"/>
          <c:tx>
            <c:v>10x (measured)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'PCB - final simulation (8r2)'!$A$10:$A$30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'PCB - final simulation (8r2)'!$E$10:$E$30</c:f>
              <c:numCache>
                <c:formatCode>General</c:formatCode>
                <c:ptCount val="21"/>
                <c:pt idx="0">
                  <c:v>-20.8278537031645</c:v>
                </c:pt>
                <c:pt idx="1">
                  <c:v>-6.3850963154036053</c:v>
                </c:pt>
                <c:pt idx="2">
                  <c:v>0.61247494863235863</c:v>
                </c:pt>
                <c:pt idx="3">
                  <c:v>6.9059524752429056</c:v>
                </c:pt>
                <c:pt idx="4">
                  <c:v>9.9049291330461458</c:v>
                </c:pt>
                <c:pt idx="5">
                  <c:v>10.316990963929516</c:v>
                </c:pt>
                <c:pt idx="6">
                  <c:v>10.556616909591801</c:v>
                </c:pt>
                <c:pt idx="7">
                  <c:v>10.615504522527427</c:v>
                </c:pt>
                <c:pt idx="8">
                  <c:v>10.673995582873758</c:v>
                </c:pt>
                <c:pt idx="9">
                  <c:v>10.673995582873758</c:v>
                </c:pt>
                <c:pt idx="10">
                  <c:v>10.615504522527427</c:v>
                </c:pt>
                <c:pt idx="11">
                  <c:v>10.49732733031702</c:v>
                </c:pt>
                <c:pt idx="12">
                  <c:v>10.132830928193039</c:v>
                </c:pt>
                <c:pt idx="13">
                  <c:v>8.9774020232447498</c:v>
                </c:pt>
                <c:pt idx="14">
                  <c:v>7.6739913911485482</c:v>
                </c:pt>
                <c:pt idx="15">
                  <c:v>5.1628120404371094</c:v>
                </c:pt>
                <c:pt idx="16">
                  <c:v>0.75577121778799505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D-43ED-8837-CFE822470974}"/>
            </c:ext>
          </c:extLst>
        </c:ser>
        <c:ser>
          <c:idx val="1"/>
          <c:order val="1"/>
          <c:tx>
            <c:strRef>
              <c:f>'[3]final-simulation ( Proteus)'!$B$1</c:f>
              <c:strCache>
                <c:ptCount val="1"/>
                <c:pt idx="0">
                  <c:v>Stage 1 Simulation (TL071)</c:v>
                </c:pt>
              </c:strCache>
            </c:strRef>
          </c:tx>
          <c:marker>
            <c:symbol val="none"/>
          </c:marker>
          <c:xVal>
            <c:numRef>
              <c:f>'[3]final-simulation ( Proteus)'!$A$2:$A$502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'[3]final-simulation ( Proteus)'!$B$2:$B$502</c:f>
              <c:numCache>
                <c:formatCode>General</c:formatCode>
                <c:ptCount val="501"/>
                <c:pt idx="0">
                  <c:v>-5.8582400000000003</c:v>
                </c:pt>
                <c:pt idx="1">
                  <c:v>-5.6627900000000002</c:v>
                </c:pt>
                <c:pt idx="2">
                  <c:v>-5.4675500000000001</c:v>
                </c:pt>
                <c:pt idx="3">
                  <c:v>-5.2725299999999997</c:v>
                </c:pt>
                <c:pt idx="4">
                  <c:v>-5.0777400000000004</c:v>
                </c:pt>
                <c:pt idx="5">
                  <c:v>-4.8831899999999999</c:v>
                </c:pt>
                <c:pt idx="6">
                  <c:v>-4.6888899999999998</c:v>
                </c:pt>
                <c:pt idx="7">
                  <c:v>-4.4948499999999996</c:v>
                </c:pt>
                <c:pt idx="8">
                  <c:v>-4.3010700000000002</c:v>
                </c:pt>
                <c:pt idx="9">
                  <c:v>-4.1075900000000001</c:v>
                </c:pt>
                <c:pt idx="10">
                  <c:v>-3.9144000000000001</c:v>
                </c:pt>
                <c:pt idx="11">
                  <c:v>-3.7215199999999999</c:v>
                </c:pt>
                <c:pt idx="12">
                  <c:v>-3.5289600000000001</c:v>
                </c:pt>
                <c:pt idx="13">
                  <c:v>-3.3367399999999998</c:v>
                </c:pt>
                <c:pt idx="14">
                  <c:v>-3.1448700000000001</c:v>
                </c:pt>
                <c:pt idx="15">
                  <c:v>-2.9533700000000001</c:v>
                </c:pt>
                <c:pt idx="16">
                  <c:v>-2.7622499999999999</c:v>
                </c:pt>
                <c:pt idx="17">
                  <c:v>-2.5715300000000001</c:v>
                </c:pt>
                <c:pt idx="18">
                  <c:v>-2.3812199999999999</c:v>
                </c:pt>
                <c:pt idx="19">
                  <c:v>-2.1913499999999999</c:v>
                </c:pt>
                <c:pt idx="20">
                  <c:v>-2.0019300000000002</c:v>
                </c:pt>
                <c:pt idx="21">
                  <c:v>-1.8129900000000001</c:v>
                </c:pt>
                <c:pt idx="22">
                  <c:v>-1.62453</c:v>
                </c:pt>
                <c:pt idx="23">
                  <c:v>-1.43658</c:v>
                </c:pt>
                <c:pt idx="24">
                  <c:v>-1.2491699999999999</c:v>
                </c:pt>
                <c:pt idx="25">
                  <c:v>-1.0623100000000001</c:v>
                </c:pt>
                <c:pt idx="26">
                  <c:v>-0.87602999999999998</c:v>
                </c:pt>
                <c:pt idx="27">
                  <c:v>-0.69034799999999996</c:v>
                </c:pt>
                <c:pt idx="28">
                  <c:v>-0.50529000000000002</c:v>
                </c:pt>
                <c:pt idx="29">
                  <c:v>-0.32088100000000003</c:v>
                </c:pt>
                <c:pt idx="30">
                  <c:v>-0.13714799999999999</c:v>
                </c:pt>
                <c:pt idx="31">
                  <c:v>4.58847E-2</c:v>
                </c:pt>
                <c:pt idx="32">
                  <c:v>0.228188</c:v>
                </c:pt>
                <c:pt idx="33">
                  <c:v>0.40973500000000002</c:v>
                </c:pt>
                <c:pt idx="34">
                  <c:v>0.59049499999999999</c:v>
                </c:pt>
                <c:pt idx="35">
                  <c:v>0.77044000000000001</c:v>
                </c:pt>
                <c:pt idx="36">
                  <c:v>0.94953900000000002</c:v>
                </c:pt>
                <c:pt idx="37">
                  <c:v>1.1277600000000001</c:v>
                </c:pt>
                <c:pt idx="38">
                  <c:v>1.30507</c:v>
                </c:pt>
                <c:pt idx="39">
                  <c:v>1.4814400000000001</c:v>
                </c:pt>
                <c:pt idx="40">
                  <c:v>1.65683</c:v>
                </c:pt>
                <c:pt idx="41">
                  <c:v>1.83121</c:v>
                </c:pt>
                <c:pt idx="42">
                  <c:v>2.0045500000000001</c:v>
                </c:pt>
                <c:pt idx="43">
                  <c:v>2.1768000000000001</c:v>
                </c:pt>
                <c:pt idx="44">
                  <c:v>2.3479299999999999</c:v>
                </c:pt>
                <c:pt idx="45">
                  <c:v>2.5179100000000001</c:v>
                </c:pt>
                <c:pt idx="46">
                  <c:v>2.68669</c:v>
                </c:pt>
                <c:pt idx="47">
                  <c:v>2.85425</c:v>
                </c:pt>
                <c:pt idx="48">
                  <c:v>3.0205299999999999</c:v>
                </c:pt>
                <c:pt idx="49">
                  <c:v>3.1855000000000002</c:v>
                </c:pt>
                <c:pt idx="50">
                  <c:v>3.34911</c:v>
                </c:pt>
                <c:pt idx="51">
                  <c:v>3.5113400000000001</c:v>
                </c:pt>
                <c:pt idx="52">
                  <c:v>3.6721400000000002</c:v>
                </c:pt>
                <c:pt idx="53">
                  <c:v>3.8314699999999999</c:v>
                </c:pt>
                <c:pt idx="54">
                  <c:v>3.9892799999999999</c:v>
                </c:pt>
                <c:pt idx="55">
                  <c:v>4.1455399999999996</c:v>
                </c:pt>
                <c:pt idx="56">
                  <c:v>4.3002099999999999</c:v>
                </c:pt>
                <c:pt idx="57">
                  <c:v>4.4532400000000001</c:v>
                </c:pt>
                <c:pt idx="58">
                  <c:v>4.6045999999999996</c:v>
                </c:pt>
                <c:pt idx="59">
                  <c:v>4.7542499999999999</c:v>
                </c:pt>
                <c:pt idx="60">
                  <c:v>4.9021299999999997</c:v>
                </c:pt>
                <c:pt idx="61">
                  <c:v>5.0482300000000002</c:v>
                </c:pt>
                <c:pt idx="62">
                  <c:v>5.1924900000000003</c:v>
                </c:pt>
                <c:pt idx="63">
                  <c:v>5.3348899999999997</c:v>
                </c:pt>
                <c:pt idx="64">
                  <c:v>5.4753699999999998</c:v>
                </c:pt>
                <c:pt idx="65">
                  <c:v>5.6139200000000002</c:v>
                </c:pt>
                <c:pt idx="66">
                  <c:v>5.7504900000000001</c:v>
                </c:pt>
                <c:pt idx="67">
                  <c:v>5.88504</c:v>
                </c:pt>
                <c:pt idx="68">
                  <c:v>6.0175599999999996</c:v>
                </c:pt>
                <c:pt idx="69">
                  <c:v>6.1479999999999997</c:v>
                </c:pt>
                <c:pt idx="70">
                  <c:v>6.2763400000000003</c:v>
                </c:pt>
                <c:pt idx="71">
                  <c:v>6.4025400000000001</c:v>
                </c:pt>
                <c:pt idx="72">
                  <c:v>6.5266000000000002</c:v>
                </c:pt>
                <c:pt idx="73">
                  <c:v>6.6484699999999997</c:v>
                </c:pt>
                <c:pt idx="74">
                  <c:v>6.7681300000000002</c:v>
                </c:pt>
                <c:pt idx="75">
                  <c:v>6.88558</c:v>
                </c:pt>
                <c:pt idx="76">
                  <c:v>7.0007900000000003</c:v>
                </c:pt>
                <c:pt idx="77">
                  <c:v>7.11374</c:v>
                </c:pt>
                <c:pt idx="78">
                  <c:v>7.2244200000000003</c:v>
                </c:pt>
                <c:pt idx="79">
                  <c:v>7.3328199999999999</c:v>
                </c:pt>
                <c:pt idx="80">
                  <c:v>7.43893</c:v>
                </c:pt>
                <c:pt idx="81">
                  <c:v>7.5427400000000002</c:v>
                </c:pt>
                <c:pt idx="82">
                  <c:v>7.6442600000000001</c:v>
                </c:pt>
                <c:pt idx="83">
                  <c:v>7.7434700000000003</c:v>
                </c:pt>
                <c:pt idx="84">
                  <c:v>7.8403799999999997</c:v>
                </c:pt>
                <c:pt idx="85">
                  <c:v>7.9349999999999996</c:v>
                </c:pt>
                <c:pt idx="86">
                  <c:v>8.0273199999999996</c:v>
                </c:pt>
                <c:pt idx="87">
                  <c:v>8.1173599999999997</c:v>
                </c:pt>
                <c:pt idx="88">
                  <c:v>8.2051300000000005</c:v>
                </c:pt>
                <c:pt idx="89">
                  <c:v>8.2906300000000002</c:v>
                </c:pt>
                <c:pt idx="90">
                  <c:v>8.3739000000000008</c:v>
                </c:pt>
                <c:pt idx="91">
                  <c:v>8.4549299999999992</c:v>
                </c:pt>
                <c:pt idx="92">
                  <c:v>8.5337499999999995</c:v>
                </c:pt>
                <c:pt idx="93">
                  <c:v>8.6103900000000007</c:v>
                </c:pt>
                <c:pt idx="94">
                  <c:v>8.6848600000000005</c:v>
                </c:pt>
                <c:pt idx="95">
                  <c:v>8.7571999999999992</c:v>
                </c:pt>
                <c:pt idx="96">
                  <c:v>8.82742</c:v>
                </c:pt>
                <c:pt idx="97">
                  <c:v>8.8955599999999997</c:v>
                </c:pt>
                <c:pt idx="98">
                  <c:v>8.9616500000000006</c:v>
                </c:pt>
                <c:pt idx="99">
                  <c:v>9.0257199999999997</c:v>
                </c:pt>
                <c:pt idx="100">
                  <c:v>9.0877999999999997</c:v>
                </c:pt>
                <c:pt idx="101">
                  <c:v>9.1479300000000006</c:v>
                </c:pt>
                <c:pt idx="102">
                  <c:v>9.2061399999999995</c:v>
                </c:pt>
                <c:pt idx="103">
                  <c:v>9.2624700000000004</c:v>
                </c:pt>
                <c:pt idx="104">
                  <c:v>9.3169500000000003</c:v>
                </c:pt>
                <c:pt idx="105">
                  <c:v>9.3696300000000008</c:v>
                </c:pt>
                <c:pt idx="106">
                  <c:v>9.4205400000000008</c:v>
                </c:pt>
                <c:pt idx="107">
                  <c:v>9.4697300000000002</c:v>
                </c:pt>
                <c:pt idx="108">
                  <c:v>9.5172299999999996</c:v>
                </c:pt>
                <c:pt idx="109">
                  <c:v>9.5630799999999994</c:v>
                </c:pt>
                <c:pt idx="110">
                  <c:v>9.6073299999999993</c:v>
                </c:pt>
                <c:pt idx="111">
                  <c:v>9.65001</c:v>
                </c:pt>
                <c:pt idx="112">
                  <c:v>9.69116</c:v>
                </c:pt>
                <c:pt idx="113">
                  <c:v>9.7308299999999992</c:v>
                </c:pt>
                <c:pt idx="114">
                  <c:v>9.7690599999999996</c:v>
                </c:pt>
                <c:pt idx="115">
                  <c:v>9.8058800000000002</c:v>
                </c:pt>
                <c:pt idx="116">
                  <c:v>9.8413400000000006</c:v>
                </c:pt>
                <c:pt idx="117">
                  <c:v>9.8754799999999996</c:v>
                </c:pt>
                <c:pt idx="118">
                  <c:v>9.9083400000000008</c:v>
                </c:pt>
                <c:pt idx="119">
                  <c:v>9.9399499999999996</c:v>
                </c:pt>
                <c:pt idx="120">
                  <c:v>9.9703499999999998</c:v>
                </c:pt>
                <c:pt idx="121">
                  <c:v>9.9995899999999995</c:v>
                </c:pt>
                <c:pt idx="122">
                  <c:v>10.027699999999999</c:v>
                </c:pt>
                <c:pt idx="123">
                  <c:v>10.0547</c:v>
                </c:pt>
                <c:pt idx="124">
                  <c:v>10.0807</c:v>
                </c:pt>
                <c:pt idx="125">
                  <c:v>10.105600000000001</c:v>
                </c:pt>
                <c:pt idx="126">
                  <c:v>10.1295</c:v>
                </c:pt>
                <c:pt idx="127">
                  <c:v>10.1525</c:v>
                </c:pt>
                <c:pt idx="128">
                  <c:v>10.1746</c:v>
                </c:pt>
                <c:pt idx="129">
                  <c:v>10.1958</c:v>
                </c:pt>
                <c:pt idx="130">
                  <c:v>10.216100000000001</c:v>
                </c:pt>
                <c:pt idx="131">
                  <c:v>10.2356</c:v>
                </c:pt>
                <c:pt idx="132">
                  <c:v>10.254300000000001</c:v>
                </c:pt>
                <c:pt idx="133">
                  <c:v>10.2723</c:v>
                </c:pt>
                <c:pt idx="134">
                  <c:v>10.2895</c:v>
                </c:pt>
                <c:pt idx="135">
                  <c:v>10.305899999999999</c:v>
                </c:pt>
                <c:pt idx="136">
                  <c:v>10.3218</c:v>
                </c:pt>
                <c:pt idx="137">
                  <c:v>10.3369</c:v>
                </c:pt>
                <c:pt idx="138">
                  <c:v>10.3514</c:v>
                </c:pt>
                <c:pt idx="139">
                  <c:v>10.3653</c:v>
                </c:pt>
                <c:pt idx="140">
                  <c:v>10.3787</c:v>
                </c:pt>
                <c:pt idx="141">
                  <c:v>10.391400000000001</c:v>
                </c:pt>
                <c:pt idx="142">
                  <c:v>10.403700000000001</c:v>
                </c:pt>
                <c:pt idx="143">
                  <c:v>10.4154</c:v>
                </c:pt>
                <c:pt idx="144">
                  <c:v>10.426600000000001</c:v>
                </c:pt>
                <c:pt idx="145">
                  <c:v>10.4373</c:v>
                </c:pt>
                <c:pt idx="146">
                  <c:v>10.4476</c:v>
                </c:pt>
                <c:pt idx="147">
                  <c:v>10.4574</c:v>
                </c:pt>
                <c:pt idx="148">
                  <c:v>10.466799999999999</c:v>
                </c:pt>
                <c:pt idx="149">
                  <c:v>10.4758</c:v>
                </c:pt>
                <c:pt idx="150">
                  <c:v>10.484500000000001</c:v>
                </c:pt>
                <c:pt idx="151">
                  <c:v>10.492699999999999</c:v>
                </c:pt>
                <c:pt idx="152">
                  <c:v>10.5006</c:v>
                </c:pt>
                <c:pt idx="153">
                  <c:v>10.5082</c:v>
                </c:pt>
                <c:pt idx="154">
                  <c:v>10.5154</c:v>
                </c:pt>
                <c:pt idx="155">
                  <c:v>10.5223</c:v>
                </c:pt>
                <c:pt idx="156">
                  <c:v>10.5289</c:v>
                </c:pt>
                <c:pt idx="157">
                  <c:v>10.5352</c:v>
                </c:pt>
                <c:pt idx="158">
                  <c:v>10.5413</c:v>
                </c:pt>
                <c:pt idx="159">
                  <c:v>10.547000000000001</c:v>
                </c:pt>
                <c:pt idx="160">
                  <c:v>10.5526</c:v>
                </c:pt>
                <c:pt idx="161">
                  <c:v>10.5579</c:v>
                </c:pt>
                <c:pt idx="162">
                  <c:v>10.562900000000001</c:v>
                </c:pt>
                <c:pt idx="163">
                  <c:v>10.5677</c:v>
                </c:pt>
                <c:pt idx="164">
                  <c:v>10.5724</c:v>
                </c:pt>
                <c:pt idx="165">
                  <c:v>10.5768</c:v>
                </c:pt>
                <c:pt idx="166">
                  <c:v>10.581</c:v>
                </c:pt>
                <c:pt idx="167">
                  <c:v>10.585000000000001</c:v>
                </c:pt>
                <c:pt idx="168">
                  <c:v>10.588900000000001</c:v>
                </c:pt>
                <c:pt idx="169">
                  <c:v>10.592599999999999</c:v>
                </c:pt>
                <c:pt idx="170">
                  <c:v>10.5961</c:v>
                </c:pt>
                <c:pt idx="171">
                  <c:v>10.599500000000001</c:v>
                </c:pt>
                <c:pt idx="172">
                  <c:v>10.6027</c:v>
                </c:pt>
                <c:pt idx="173">
                  <c:v>10.6058</c:v>
                </c:pt>
                <c:pt idx="174">
                  <c:v>10.608700000000001</c:v>
                </c:pt>
                <c:pt idx="175">
                  <c:v>10.611499999999999</c:v>
                </c:pt>
                <c:pt idx="176">
                  <c:v>10.6142</c:v>
                </c:pt>
                <c:pt idx="177">
                  <c:v>10.6168</c:v>
                </c:pt>
                <c:pt idx="178">
                  <c:v>10.619199999999999</c:v>
                </c:pt>
                <c:pt idx="179">
                  <c:v>10.621499999999999</c:v>
                </c:pt>
                <c:pt idx="180">
                  <c:v>10.623799999999999</c:v>
                </c:pt>
                <c:pt idx="181">
                  <c:v>10.6259</c:v>
                </c:pt>
                <c:pt idx="182">
                  <c:v>10.628</c:v>
                </c:pt>
                <c:pt idx="183">
                  <c:v>10.629899999999999</c:v>
                </c:pt>
                <c:pt idx="184">
                  <c:v>10.6318</c:v>
                </c:pt>
                <c:pt idx="185">
                  <c:v>10.633599999999999</c:v>
                </c:pt>
                <c:pt idx="186">
                  <c:v>10.635300000000001</c:v>
                </c:pt>
                <c:pt idx="187">
                  <c:v>10.636900000000001</c:v>
                </c:pt>
                <c:pt idx="188">
                  <c:v>10.638400000000001</c:v>
                </c:pt>
                <c:pt idx="189">
                  <c:v>10.639900000000001</c:v>
                </c:pt>
                <c:pt idx="190">
                  <c:v>10.641299999999999</c:v>
                </c:pt>
                <c:pt idx="191">
                  <c:v>10.6427</c:v>
                </c:pt>
                <c:pt idx="192">
                  <c:v>10.644</c:v>
                </c:pt>
                <c:pt idx="193">
                  <c:v>10.645200000000001</c:v>
                </c:pt>
                <c:pt idx="194">
                  <c:v>10.6464</c:v>
                </c:pt>
                <c:pt idx="195">
                  <c:v>10.647500000000001</c:v>
                </c:pt>
                <c:pt idx="196">
                  <c:v>10.6486</c:v>
                </c:pt>
                <c:pt idx="197">
                  <c:v>10.6496</c:v>
                </c:pt>
                <c:pt idx="198">
                  <c:v>10.650600000000001</c:v>
                </c:pt>
                <c:pt idx="199">
                  <c:v>10.6515</c:v>
                </c:pt>
                <c:pt idx="200">
                  <c:v>10.6524</c:v>
                </c:pt>
                <c:pt idx="201">
                  <c:v>10.6533</c:v>
                </c:pt>
                <c:pt idx="202">
                  <c:v>10.6541</c:v>
                </c:pt>
                <c:pt idx="203">
                  <c:v>10.6549</c:v>
                </c:pt>
                <c:pt idx="204">
                  <c:v>10.6556</c:v>
                </c:pt>
                <c:pt idx="205">
                  <c:v>10.6563</c:v>
                </c:pt>
                <c:pt idx="206">
                  <c:v>10.657</c:v>
                </c:pt>
                <c:pt idx="207">
                  <c:v>10.6577</c:v>
                </c:pt>
                <c:pt idx="208">
                  <c:v>10.658300000000001</c:v>
                </c:pt>
                <c:pt idx="209">
                  <c:v>10.658899999999999</c:v>
                </c:pt>
                <c:pt idx="210">
                  <c:v>10.6594</c:v>
                </c:pt>
                <c:pt idx="211">
                  <c:v>10.66</c:v>
                </c:pt>
                <c:pt idx="212">
                  <c:v>10.660500000000001</c:v>
                </c:pt>
                <c:pt idx="213">
                  <c:v>10.661</c:v>
                </c:pt>
                <c:pt idx="214">
                  <c:v>10.6614</c:v>
                </c:pt>
                <c:pt idx="215">
                  <c:v>10.661899999999999</c:v>
                </c:pt>
                <c:pt idx="216">
                  <c:v>10.6623</c:v>
                </c:pt>
                <c:pt idx="217">
                  <c:v>10.662699999999999</c:v>
                </c:pt>
                <c:pt idx="218">
                  <c:v>10.6631</c:v>
                </c:pt>
                <c:pt idx="219">
                  <c:v>10.663500000000001</c:v>
                </c:pt>
                <c:pt idx="220">
                  <c:v>10.6638</c:v>
                </c:pt>
                <c:pt idx="221">
                  <c:v>10.664199999999999</c:v>
                </c:pt>
                <c:pt idx="222">
                  <c:v>10.6645</c:v>
                </c:pt>
                <c:pt idx="223">
                  <c:v>10.6648</c:v>
                </c:pt>
                <c:pt idx="224">
                  <c:v>10.665100000000001</c:v>
                </c:pt>
                <c:pt idx="225">
                  <c:v>10.6653</c:v>
                </c:pt>
                <c:pt idx="226">
                  <c:v>10.6656</c:v>
                </c:pt>
                <c:pt idx="227">
                  <c:v>10.665900000000001</c:v>
                </c:pt>
                <c:pt idx="228">
                  <c:v>10.6661</c:v>
                </c:pt>
                <c:pt idx="229">
                  <c:v>10.6663</c:v>
                </c:pt>
                <c:pt idx="230">
                  <c:v>10.666499999999999</c:v>
                </c:pt>
                <c:pt idx="231">
                  <c:v>10.666700000000001</c:v>
                </c:pt>
                <c:pt idx="232">
                  <c:v>10.6669</c:v>
                </c:pt>
                <c:pt idx="233">
                  <c:v>10.6671</c:v>
                </c:pt>
                <c:pt idx="234">
                  <c:v>10.667299999999999</c:v>
                </c:pt>
                <c:pt idx="235">
                  <c:v>10.6675</c:v>
                </c:pt>
                <c:pt idx="236">
                  <c:v>10.6676</c:v>
                </c:pt>
                <c:pt idx="237">
                  <c:v>10.6678</c:v>
                </c:pt>
                <c:pt idx="238">
                  <c:v>10.667899999999999</c:v>
                </c:pt>
                <c:pt idx="239">
                  <c:v>10.668100000000001</c:v>
                </c:pt>
                <c:pt idx="240">
                  <c:v>10.668200000000001</c:v>
                </c:pt>
                <c:pt idx="241">
                  <c:v>10.6683</c:v>
                </c:pt>
                <c:pt idx="242">
                  <c:v>10.6684</c:v>
                </c:pt>
                <c:pt idx="243">
                  <c:v>10.6685</c:v>
                </c:pt>
                <c:pt idx="244">
                  <c:v>10.6686</c:v>
                </c:pt>
                <c:pt idx="245">
                  <c:v>10.668699999999999</c:v>
                </c:pt>
                <c:pt idx="246">
                  <c:v>10.668799999999999</c:v>
                </c:pt>
                <c:pt idx="247">
                  <c:v>10.668900000000001</c:v>
                </c:pt>
                <c:pt idx="248">
                  <c:v>10.669</c:v>
                </c:pt>
                <c:pt idx="249">
                  <c:v>10.669</c:v>
                </c:pt>
                <c:pt idx="250">
                  <c:v>10.6691</c:v>
                </c:pt>
                <c:pt idx="251">
                  <c:v>10.6692</c:v>
                </c:pt>
                <c:pt idx="252">
                  <c:v>10.6692</c:v>
                </c:pt>
                <c:pt idx="253">
                  <c:v>10.6693</c:v>
                </c:pt>
                <c:pt idx="254">
                  <c:v>10.6693</c:v>
                </c:pt>
                <c:pt idx="255">
                  <c:v>10.6693</c:v>
                </c:pt>
                <c:pt idx="256">
                  <c:v>10.6694</c:v>
                </c:pt>
                <c:pt idx="257">
                  <c:v>10.6694</c:v>
                </c:pt>
                <c:pt idx="258">
                  <c:v>10.6694</c:v>
                </c:pt>
                <c:pt idx="259">
                  <c:v>10.669499999999999</c:v>
                </c:pt>
                <c:pt idx="260">
                  <c:v>10.669499999999999</c:v>
                </c:pt>
                <c:pt idx="261">
                  <c:v>10.669499999999999</c:v>
                </c:pt>
                <c:pt idx="262">
                  <c:v>10.669499999999999</c:v>
                </c:pt>
                <c:pt idx="263">
                  <c:v>10.669499999999999</c:v>
                </c:pt>
                <c:pt idx="264">
                  <c:v>10.669499999999999</c:v>
                </c:pt>
                <c:pt idx="265">
                  <c:v>10.669499999999999</c:v>
                </c:pt>
                <c:pt idx="266">
                  <c:v>10.669499999999999</c:v>
                </c:pt>
                <c:pt idx="267">
                  <c:v>10.669499999999999</c:v>
                </c:pt>
                <c:pt idx="268">
                  <c:v>10.6694</c:v>
                </c:pt>
                <c:pt idx="269">
                  <c:v>10.6694</c:v>
                </c:pt>
                <c:pt idx="270">
                  <c:v>10.6694</c:v>
                </c:pt>
                <c:pt idx="271">
                  <c:v>10.6694</c:v>
                </c:pt>
                <c:pt idx="272">
                  <c:v>10.6693</c:v>
                </c:pt>
                <c:pt idx="273">
                  <c:v>10.6693</c:v>
                </c:pt>
                <c:pt idx="274">
                  <c:v>10.6692</c:v>
                </c:pt>
                <c:pt idx="275">
                  <c:v>10.6692</c:v>
                </c:pt>
                <c:pt idx="276">
                  <c:v>10.6691</c:v>
                </c:pt>
                <c:pt idx="277">
                  <c:v>10.6691</c:v>
                </c:pt>
                <c:pt idx="278">
                  <c:v>10.669</c:v>
                </c:pt>
                <c:pt idx="279">
                  <c:v>10.668900000000001</c:v>
                </c:pt>
                <c:pt idx="280">
                  <c:v>10.668799999999999</c:v>
                </c:pt>
                <c:pt idx="281">
                  <c:v>10.668799999999999</c:v>
                </c:pt>
                <c:pt idx="282">
                  <c:v>10.668699999999999</c:v>
                </c:pt>
                <c:pt idx="283">
                  <c:v>10.6686</c:v>
                </c:pt>
                <c:pt idx="284">
                  <c:v>10.6685</c:v>
                </c:pt>
                <c:pt idx="285">
                  <c:v>10.6684</c:v>
                </c:pt>
                <c:pt idx="286">
                  <c:v>10.668200000000001</c:v>
                </c:pt>
                <c:pt idx="287">
                  <c:v>10.668100000000001</c:v>
                </c:pt>
                <c:pt idx="288">
                  <c:v>10.667999999999999</c:v>
                </c:pt>
                <c:pt idx="289">
                  <c:v>10.667899999999999</c:v>
                </c:pt>
                <c:pt idx="290">
                  <c:v>10.6677</c:v>
                </c:pt>
                <c:pt idx="291">
                  <c:v>10.6676</c:v>
                </c:pt>
                <c:pt idx="292">
                  <c:v>10.667400000000001</c:v>
                </c:pt>
                <c:pt idx="293">
                  <c:v>10.667199999999999</c:v>
                </c:pt>
                <c:pt idx="294">
                  <c:v>10.667</c:v>
                </c:pt>
                <c:pt idx="295">
                  <c:v>10.6669</c:v>
                </c:pt>
                <c:pt idx="296">
                  <c:v>10.666700000000001</c:v>
                </c:pt>
                <c:pt idx="297">
                  <c:v>10.666399999999999</c:v>
                </c:pt>
                <c:pt idx="298">
                  <c:v>10.6662</c:v>
                </c:pt>
                <c:pt idx="299">
                  <c:v>10.666</c:v>
                </c:pt>
                <c:pt idx="300">
                  <c:v>10.665699999999999</c:v>
                </c:pt>
                <c:pt idx="301">
                  <c:v>10.6655</c:v>
                </c:pt>
                <c:pt idx="302">
                  <c:v>10.6652</c:v>
                </c:pt>
                <c:pt idx="303">
                  <c:v>10.664899999999999</c:v>
                </c:pt>
                <c:pt idx="304">
                  <c:v>10.6646</c:v>
                </c:pt>
                <c:pt idx="305">
                  <c:v>10.664300000000001</c:v>
                </c:pt>
                <c:pt idx="306">
                  <c:v>10.664</c:v>
                </c:pt>
                <c:pt idx="307">
                  <c:v>10.6637</c:v>
                </c:pt>
                <c:pt idx="308">
                  <c:v>10.6633</c:v>
                </c:pt>
                <c:pt idx="309">
                  <c:v>10.6629</c:v>
                </c:pt>
                <c:pt idx="310">
                  <c:v>10.6625</c:v>
                </c:pt>
                <c:pt idx="311">
                  <c:v>10.662100000000001</c:v>
                </c:pt>
                <c:pt idx="312">
                  <c:v>10.6617</c:v>
                </c:pt>
                <c:pt idx="313">
                  <c:v>10.661199999999999</c:v>
                </c:pt>
                <c:pt idx="314">
                  <c:v>10.6607</c:v>
                </c:pt>
                <c:pt idx="315">
                  <c:v>10.6602</c:v>
                </c:pt>
                <c:pt idx="316">
                  <c:v>10.659700000000001</c:v>
                </c:pt>
                <c:pt idx="317">
                  <c:v>10.6592</c:v>
                </c:pt>
                <c:pt idx="318">
                  <c:v>10.6586</c:v>
                </c:pt>
                <c:pt idx="319">
                  <c:v>10.657999999999999</c:v>
                </c:pt>
                <c:pt idx="320">
                  <c:v>10.657400000000001</c:v>
                </c:pt>
                <c:pt idx="321">
                  <c:v>10.656700000000001</c:v>
                </c:pt>
                <c:pt idx="322">
                  <c:v>10.656000000000001</c:v>
                </c:pt>
                <c:pt idx="323">
                  <c:v>10.6553</c:v>
                </c:pt>
                <c:pt idx="324">
                  <c:v>10.654500000000001</c:v>
                </c:pt>
                <c:pt idx="325">
                  <c:v>10.653700000000001</c:v>
                </c:pt>
                <c:pt idx="326">
                  <c:v>10.652900000000001</c:v>
                </c:pt>
                <c:pt idx="327">
                  <c:v>10.651999999999999</c:v>
                </c:pt>
                <c:pt idx="328">
                  <c:v>10.6511</c:v>
                </c:pt>
                <c:pt idx="329">
                  <c:v>10.6501</c:v>
                </c:pt>
                <c:pt idx="330">
                  <c:v>10.649100000000001</c:v>
                </c:pt>
                <c:pt idx="331">
                  <c:v>10.648099999999999</c:v>
                </c:pt>
                <c:pt idx="332">
                  <c:v>10.647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10.6434</c:v>
                </c:pt>
                <c:pt idx="336">
                  <c:v>10.641999999999999</c:v>
                </c:pt>
                <c:pt idx="337">
                  <c:v>10.640700000000001</c:v>
                </c:pt>
                <c:pt idx="338">
                  <c:v>10.639200000000001</c:v>
                </c:pt>
                <c:pt idx="339">
                  <c:v>10.637700000000001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10.6309</c:v>
                </c:pt>
                <c:pt idx="344">
                  <c:v>10.629</c:v>
                </c:pt>
                <c:pt idx="345">
                  <c:v>10.627000000000001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10.610200000000001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10.597899999999999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10.5747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10.538399999999999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9.9854000000000003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9.7114799999999999</c:v>
                </c:pt>
                <c:pt idx="415">
                  <c:v>9.6710700000000003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9.4939699999999991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9.0571900000000003</c:v>
                </c:pt>
                <c:pt idx="428">
                  <c:v>8.9940999999999995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8.1613199999999999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7.0566300000000002</c:v>
                </c:pt>
                <c:pt idx="451">
                  <c:v>6.9424599999999996</c:v>
                </c:pt>
                <c:pt idx="452">
                  <c:v>6.8260500000000004</c:v>
                </c:pt>
                <c:pt idx="453">
                  <c:v>6.7073900000000002</c:v>
                </c:pt>
                <c:pt idx="454">
                  <c:v>6.5865299999999998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0.67055600000000004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3D-43ED-8837-CFE822470974}"/>
            </c:ext>
          </c:extLst>
        </c:ser>
        <c:ser>
          <c:idx val="2"/>
          <c:order val="2"/>
          <c:tx>
            <c:strRef>
              <c:f>'[3]final-simulation ( Proteus)'!$C$1</c:f>
              <c:strCache>
                <c:ptCount val="1"/>
                <c:pt idx="0">
                  <c:v>Stage 2 Simulation (OPA551)</c:v>
                </c:pt>
              </c:strCache>
            </c:strRef>
          </c:tx>
          <c:marker>
            <c:symbol val="none"/>
          </c:marker>
          <c:xVal>
            <c:numRef>
              <c:f>'[3]final-simulation ( Proteus)'!$A$2:$A$502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'[3]final-simulation ( Proteus)'!$C$2:$C$502</c:f>
              <c:numCache>
                <c:formatCode>General</c:formatCode>
                <c:ptCount val="501"/>
                <c:pt idx="0">
                  <c:v>-24.825399999999998</c:v>
                </c:pt>
                <c:pt idx="1">
                  <c:v>-24.432500000000001</c:v>
                </c:pt>
                <c:pt idx="2">
                  <c:v>-24.04</c:v>
                </c:pt>
                <c:pt idx="3">
                  <c:v>-23.6478</c:v>
                </c:pt>
                <c:pt idx="4">
                  <c:v>-23.256</c:v>
                </c:pt>
                <c:pt idx="5">
                  <c:v>-22.8645</c:v>
                </c:pt>
                <c:pt idx="6">
                  <c:v>-22.473500000000001</c:v>
                </c:pt>
                <c:pt idx="7">
                  <c:v>-22.082899999999999</c:v>
                </c:pt>
                <c:pt idx="8">
                  <c:v>-21.692699999999999</c:v>
                </c:pt>
                <c:pt idx="9">
                  <c:v>-21.302900000000001</c:v>
                </c:pt>
                <c:pt idx="10">
                  <c:v>-20.913599999999999</c:v>
                </c:pt>
                <c:pt idx="11">
                  <c:v>-20.524799999999999</c:v>
                </c:pt>
                <c:pt idx="12">
                  <c:v>-20.136500000000002</c:v>
                </c:pt>
                <c:pt idx="13">
                  <c:v>-19.748799999999999</c:v>
                </c:pt>
                <c:pt idx="14">
                  <c:v>-19.361599999999999</c:v>
                </c:pt>
                <c:pt idx="15">
                  <c:v>-18.975000000000001</c:v>
                </c:pt>
                <c:pt idx="16">
                  <c:v>-18.588999999999999</c:v>
                </c:pt>
                <c:pt idx="17">
                  <c:v>-18.203600000000002</c:v>
                </c:pt>
                <c:pt idx="18">
                  <c:v>-17.818899999999999</c:v>
                </c:pt>
                <c:pt idx="19">
                  <c:v>-17.434899999999999</c:v>
                </c:pt>
                <c:pt idx="20">
                  <c:v>-17.051600000000001</c:v>
                </c:pt>
                <c:pt idx="21">
                  <c:v>-16.669</c:v>
                </c:pt>
                <c:pt idx="22">
                  <c:v>-16.287199999999999</c:v>
                </c:pt>
                <c:pt idx="23">
                  <c:v>-15.9063</c:v>
                </c:pt>
                <c:pt idx="24">
                  <c:v>-15.526199999999999</c:v>
                </c:pt>
                <c:pt idx="25">
                  <c:v>-15.1469</c:v>
                </c:pt>
                <c:pt idx="26">
                  <c:v>-14.768599999999999</c:v>
                </c:pt>
                <c:pt idx="27">
                  <c:v>-14.391299999999999</c:v>
                </c:pt>
                <c:pt idx="28">
                  <c:v>-14.015000000000001</c:v>
                </c:pt>
                <c:pt idx="29">
                  <c:v>-13.639699999999999</c:v>
                </c:pt>
                <c:pt idx="30">
                  <c:v>-13.265499999999999</c:v>
                </c:pt>
                <c:pt idx="31">
                  <c:v>-12.8924</c:v>
                </c:pt>
                <c:pt idx="32">
                  <c:v>-12.5205</c:v>
                </c:pt>
                <c:pt idx="33">
                  <c:v>-12.149800000000001</c:v>
                </c:pt>
                <c:pt idx="34">
                  <c:v>-11.7804</c:v>
                </c:pt>
                <c:pt idx="35">
                  <c:v>-11.4122</c:v>
                </c:pt>
                <c:pt idx="36">
                  <c:v>-11.045500000000001</c:v>
                </c:pt>
                <c:pt idx="37">
                  <c:v>-10.680199999999999</c:v>
                </c:pt>
                <c:pt idx="38">
                  <c:v>-10.3164</c:v>
                </c:pt>
                <c:pt idx="39">
                  <c:v>-9.9540699999999998</c:v>
                </c:pt>
                <c:pt idx="40">
                  <c:v>-9.5933600000000006</c:v>
                </c:pt>
                <c:pt idx="41">
                  <c:v>-9.2342999999999993</c:v>
                </c:pt>
                <c:pt idx="42">
                  <c:v>-8.8769500000000008</c:v>
                </c:pt>
                <c:pt idx="43">
                  <c:v>-8.5213699999999992</c:v>
                </c:pt>
                <c:pt idx="44">
                  <c:v>-8.1676300000000008</c:v>
                </c:pt>
                <c:pt idx="45">
                  <c:v>-7.8157899999999998</c:v>
                </c:pt>
                <c:pt idx="46">
                  <c:v>-7.4659199999999997</c:v>
                </c:pt>
                <c:pt idx="47">
                  <c:v>-7.1180899999999996</c:v>
                </c:pt>
                <c:pt idx="48">
                  <c:v>-6.7723599999999999</c:v>
                </c:pt>
                <c:pt idx="49">
                  <c:v>-6.4287999999999998</c:v>
                </c:pt>
                <c:pt idx="50">
                  <c:v>-6.0874899999999998</c:v>
                </c:pt>
                <c:pt idx="51">
                  <c:v>-5.7484999999999999</c:v>
                </c:pt>
                <c:pt idx="52">
                  <c:v>-5.4119099999999998</c:v>
                </c:pt>
                <c:pt idx="53">
                  <c:v>-5.0777799999999997</c:v>
                </c:pt>
                <c:pt idx="54">
                  <c:v>-4.7462</c:v>
                </c:pt>
                <c:pt idx="55">
                  <c:v>-4.4172399999999996</c:v>
                </c:pt>
                <c:pt idx="56">
                  <c:v>-4.0909800000000001</c:v>
                </c:pt>
                <c:pt idx="57">
                  <c:v>-3.76749</c:v>
                </c:pt>
                <c:pt idx="58">
                  <c:v>-3.44685</c:v>
                </c:pt>
                <c:pt idx="59">
                  <c:v>-3.1291500000000001</c:v>
                </c:pt>
                <c:pt idx="60">
                  <c:v>-2.8144499999999999</c:v>
                </c:pt>
                <c:pt idx="61">
                  <c:v>-2.50285</c:v>
                </c:pt>
                <c:pt idx="62">
                  <c:v>-2.19441</c:v>
                </c:pt>
                <c:pt idx="63">
                  <c:v>-1.8892100000000001</c:v>
                </c:pt>
                <c:pt idx="64">
                  <c:v>-1.58734</c:v>
                </c:pt>
                <c:pt idx="65">
                  <c:v>-1.2888599999999999</c:v>
                </c:pt>
                <c:pt idx="66">
                  <c:v>-0.99385299999999999</c:v>
                </c:pt>
                <c:pt idx="67">
                  <c:v>-0.70239600000000002</c:v>
                </c:pt>
                <c:pt idx="68">
                  <c:v>-0.41455900000000001</c:v>
                </c:pt>
                <c:pt idx="69">
                  <c:v>-0.130414</c:v>
                </c:pt>
                <c:pt idx="70">
                  <c:v>0.14996899999999999</c:v>
                </c:pt>
                <c:pt idx="71">
                  <c:v>0.42652400000000001</c:v>
                </c:pt>
                <c:pt idx="72">
                  <c:v>0.699183</c:v>
                </c:pt>
                <c:pt idx="73">
                  <c:v>0.96788399999999997</c:v>
                </c:pt>
                <c:pt idx="74">
                  <c:v>1.2325699999999999</c:v>
                </c:pt>
                <c:pt idx="75">
                  <c:v>1.4931700000000001</c:v>
                </c:pt>
                <c:pt idx="76">
                  <c:v>1.7496400000000001</c:v>
                </c:pt>
                <c:pt idx="77">
                  <c:v>2.0019300000000002</c:v>
                </c:pt>
                <c:pt idx="78">
                  <c:v>2.2499799999999999</c:v>
                </c:pt>
                <c:pt idx="79">
                  <c:v>2.49376</c:v>
                </c:pt>
                <c:pt idx="80">
                  <c:v>2.7332200000000002</c:v>
                </c:pt>
                <c:pt idx="81">
                  <c:v>2.9683199999999998</c:v>
                </c:pt>
                <c:pt idx="82">
                  <c:v>3.19902</c:v>
                </c:pt>
                <c:pt idx="83">
                  <c:v>3.4253100000000001</c:v>
                </c:pt>
                <c:pt idx="84">
                  <c:v>3.6471499999999999</c:v>
                </c:pt>
                <c:pt idx="85">
                  <c:v>3.8645100000000001</c:v>
                </c:pt>
                <c:pt idx="86">
                  <c:v>4.0773999999999999</c:v>
                </c:pt>
                <c:pt idx="87">
                  <c:v>4.2857799999999999</c:v>
                </c:pt>
                <c:pt idx="88">
                  <c:v>4.4896599999999998</c:v>
                </c:pt>
                <c:pt idx="89">
                  <c:v>4.6890200000000002</c:v>
                </c:pt>
                <c:pt idx="90">
                  <c:v>4.8838800000000004</c:v>
                </c:pt>
                <c:pt idx="91">
                  <c:v>5.07423</c:v>
                </c:pt>
                <c:pt idx="92">
                  <c:v>5.2600899999999999</c:v>
                </c:pt>
                <c:pt idx="93">
                  <c:v>5.4414600000000002</c:v>
                </c:pt>
                <c:pt idx="94">
                  <c:v>5.6183699999999996</c:v>
                </c:pt>
                <c:pt idx="95">
                  <c:v>5.7908400000000002</c:v>
                </c:pt>
                <c:pt idx="96">
                  <c:v>5.9588999999999999</c:v>
                </c:pt>
                <c:pt idx="97">
                  <c:v>6.1225699999999996</c:v>
                </c:pt>
                <c:pt idx="98">
                  <c:v>6.2818899999999998</c:v>
                </c:pt>
                <c:pt idx="99">
                  <c:v>6.4369100000000001</c:v>
                </c:pt>
                <c:pt idx="100">
                  <c:v>6.5876599999999996</c:v>
                </c:pt>
                <c:pt idx="101">
                  <c:v>6.7341899999999999</c:v>
                </c:pt>
                <c:pt idx="102">
                  <c:v>6.8765599999999996</c:v>
                </c:pt>
                <c:pt idx="103">
                  <c:v>7.0148000000000001</c:v>
                </c:pt>
                <c:pt idx="104">
                  <c:v>7.1489799999999999</c:v>
                </c:pt>
                <c:pt idx="105">
                  <c:v>7.2791600000000001</c:v>
                </c:pt>
                <c:pt idx="106">
                  <c:v>7.4054000000000002</c:v>
                </c:pt>
                <c:pt idx="107">
                  <c:v>7.5277700000000003</c:v>
                </c:pt>
                <c:pt idx="108">
                  <c:v>7.6463200000000002</c:v>
                </c:pt>
                <c:pt idx="109">
                  <c:v>7.7611299999999996</c:v>
                </c:pt>
                <c:pt idx="110">
                  <c:v>7.8722700000000003</c:v>
                </c:pt>
                <c:pt idx="111">
                  <c:v>7.9798099999999996</c:v>
                </c:pt>
                <c:pt idx="112">
                  <c:v>8.0838199999999993</c:v>
                </c:pt>
                <c:pt idx="113">
                  <c:v>8.1843800000000009</c:v>
                </c:pt>
                <c:pt idx="114">
                  <c:v>8.2815600000000007</c:v>
                </c:pt>
                <c:pt idx="115">
                  <c:v>8.3754500000000007</c:v>
                </c:pt>
                <c:pt idx="116">
                  <c:v>8.4661100000000005</c:v>
                </c:pt>
                <c:pt idx="117">
                  <c:v>8.5536300000000001</c:v>
                </c:pt>
                <c:pt idx="118">
                  <c:v>8.6380800000000004</c:v>
                </c:pt>
                <c:pt idx="119">
                  <c:v>8.7195400000000003</c:v>
                </c:pt>
                <c:pt idx="120">
                  <c:v>8.7980999999999998</c:v>
                </c:pt>
                <c:pt idx="121">
                  <c:v>8.8738200000000003</c:v>
                </c:pt>
                <c:pt idx="122">
                  <c:v>8.94679</c:v>
                </c:pt>
                <c:pt idx="123">
                  <c:v>9.01708</c:v>
                </c:pt>
                <c:pt idx="124">
                  <c:v>9.0847800000000003</c:v>
                </c:pt>
                <c:pt idx="125">
                  <c:v>9.1499500000000005</c:v>
                </c:pt>
                <c:pt idx="126">
                  <c:v>9.2126800000000006</c:v>
                </c:pt>
                <c:pt idx="127">
                  <c:v>9.2730300000000003</c:v>
                </c:pt>
                <c:pt idx="128">
                  <c:v>9.33108</c:v>
                </c:pt>
                <c:pt idx="129">
                  <c:v>9.3869100000000003</c:v>
                </c:pt>
                <c:pt idx="130">
                  <c:v>9.4405800000000006</c:v>
                </c:pt>
                <c:pt idx="131">
                  <c:v>9.4921600000000002</c:v>
                </c:pt>
                <c:pt idx="132">
                  <c:v>9.5417299999999994</c:v>
                </c:pt>
                <c:pt idx="133">
                  <c:v>9.5893499999999996</c:v>
                </c:pt>
                <c:pt idx="134">
                  <c:v>9.6350899999999999</c:v>
                </c:pt>
                <c:pt idx="135">
                  <c:v>9.6790099999999999</c:v>
                </c:pt>
                <c:pt idx="136">
                  <c:v>9.7211700000000008</c:v>
                </c:pt>
                <c:pt idx="137">
                  <c:v>9.7616399999999999</c:v>
                </c:pt>
                <c:pt idx="138">
                  <c:v>9.8004700000000007</c:v>
                </c:pt>
                <c:pt idx="139">
                  <c:v>9.8377400000000002</c:v>
                </c:pt>
                <c:pt idx="140">
                  <c:v>9.8734800000000007</c:v>
                </c:pt>
                <c:pt idx="141">
                  <c:v>9.9077599999999997</c:v>
                </c:pt>
                <c:pt idx="142">
                  <c:v>9.9406400000000001</c:v>
                </c:pt>
                <c:pt idx="143">
                  <c:v>9.9721600000000006</c:v>
                </c:pt>
                <c:pt idx="144">
                  <c:v>10.0024</c:v>
                </c:pt>
                <c:pt idx="145">
                  <c:v>10.0313</c:v>
                </c:pt>
                <c:pt idx="146">
                  <c:v>10.059100000000001</c:v>
                </c:pt>
                <c:pt idx="147">
                  <c:v>10.085699999999999</c:v>
                </c:pt>
                <c:pt idx="148">
                  <c:v>10.1112</c:v>
                </c:pt>
                <c:pt idx="149">
                  <c:v>10.1356</c:v>
                </c:pt>
                <c:pt idx="150">
                  <c:v>10.158899999999999</c:v>
                </c:pt>
                <c:pt idx="151">
                  <c:v>10.1813</c:v>
                </c:pt>
                <c:pt idx="152">
                  <c:v>10.2028</c:v>
                </c:pt>
                <c:pt idx="153">
                  <c:v>10.2233</c:v>
                </c:pt>
                <c:pt idx="154">
                  <c:v>10.242900000000001</c:v>
                </c:pt>
                <c:pt idx="155">
                  <c:v>10.261799999999999</c:v>
                </c:pt>
                <c:pt idx="156">
                  <c:v>10.2798</c:v>
                </c:pt>
                <c:pt idx="157">
                  <c:v>10.297000000000001</c:v>
                </c:pt>
                <c:pt idx="158">
                  <c:v>10.313499999999999</c:v>
                </c:pt>
                <c:pt idx="159">
                  <c:v>10.3293</c:v>
                </c:pt>
                <c:pt idx="160">
                  <c:v>10.3444</c:v>
                </c:pt>
                <c:pt idx="161">
                  <c:v>10.3588</c:v>
                </c:pt>
                <c:pt idx="162">
                  <c:v>10.3726</c:v>
                </c:pt>
                <c:pt idx="163">
                  <c:v>10.3858</c:v>
                </c:pt>
                <c:pt idx="164">
                  <c:v>10.3985</c:v>
                </c:pt>
                <c:pt idx="165">
                  <c:v>10.410600000000001</c:v>
                </c:pt>
                <c:pt idx="166">
                  <c:v>10.4221</c:v>
                </c:pt>
                <c:pt idx="167">
                  <c:v>10.433199999999999</c:v>
                </c:pt>
                <c:pt idx="168">
                  <c:v>10.4438</c:v>
                </c:pt>
                <c:pt idx="169">
                  <c:v>10.453900000000001</c:v>
                </c:pt>
                <c:pt idx="170">
                  <c:v>10.4636</c:v>
                </c:pt>
                <c:pt idx="171">
                  <c:v>10.472799999999999</c:v>
                </c:pt>
                <c:pt idx="172">
                  <c:v>10.4817</c:v>
                </c:pt>
                <c:pt idx="173">
                  <c:v>10.4901</c:v>
                </c:pt>
                <c:pt idx="174">
                  <c:v>10.498200000000001</c:v>
                </c:pt>
                <c:pt idx="175">
                  <c:v>10.5059</c:v>
                </c:pt>
                <c:pt idx="176">
                  <c:v>10.513299999999999</c:v>
                </c:pt>
                <c:pt idx="177">
                  <c:v>10.520300000000001</c:v>
                </c:pt>
                <c:pt idx="178">
                  <c:v>10.527100000000001</c:v>
                </c:pt>
                <c:pt idx="179">
                  <c:v>10.5335</c:v>
                </c:pt>
                <c:pt idx="180">
                  <c:v>10.5397</c:v>
                </c:pt>
                <c:pt idx="181">
                  <c:v>10.5456</c:v>
                </c:pt>
                <c:pt idx="182">
                  <c:v>10.5512</c:v>
                </c:pt>
                <c:pt idx="183">
                  <c:v>10.5566</c:v>
                </c:pt>
                <c:pt idx="184">
                  <c:v>10.5617</c:v>
                </c:pt>
                <c:pt idx="185">
                  <c:v>10.566599999999999</c:v>
                </c:pt>
                <c:pt idx="186">
                  <c:v>10.571300000000001</c:v>
                </c:pt>
                <c:pt idx="187">
                  <c:v>10.575799999999999</c:v>
                </c:pt>
                <c:pt idx="188">
                  <c:v>10.5801</c:v>
                </c:pt>
                <c:pt idx="189">
                  <c:v>10.584199999999999</c:v>
                </c:pt>
                <c:pt idx="190">
                  <c:v>10.588100000000001</c:v>
                </c:pt>
                <c:pt idx="191">
                  <c:v>10.591799999999999</c:v>
                </c:pt>
                <c:pt idx="192">
                  <c:v>10.5954</c:v>
                </c:pt>
                <c:pt idx="193">
                  <c:v>10.598800000000001</c:v>
                </c:pt>
                <c:pt idx="194">
                  <c:v>10.6021</c:v>
                </c:pt>
                <c:pt idx="195">
                  <c:v>10.6052</c:v>
                </c:pt>
                <c:pt idx="196">
                  <c:v>10.6081</c:v>
                </c:pt>
                <c:pt idx="197">
                  <c:v>10.611000000000001</c:v>
                </c:pt>
                <c:pt idx="198">
                  <c:v>10.6137</c:v>
                </c:pt>
                <c:pt idx="199">
                  <c:v>10.616300000000001</c:v>
                </c:pt>
                <c:pt idx="200">
                  <c:v>10.6188</c:v>
                </c:pt>
                <c:pt idx="201">
                  <c:v>10.6211</c:v>
                </c:pt>
                <c:pt idx="202">
                  <c:v>10.6234</c:v>
                </c:pt>
                <c:pt idx="203">
                  <c:v>10.625500000000001</c:v>
                </c:pt>
                <c:pt idx="204">
                  <c:v>10.627599999999999</c:v>
                </c:pt>
                <c:pt idx="205">
                  <c:v>10.6296</c:v>
                </c:pt>
                <c:pt idx="206">
                  <c:v>10.631399999999999</c:v>
                </c:pt>
                <c:pt idx="207">
                  <c:v>10.6332</c:v>
                </c:pt>
                <c:pt idx="208">
                  <c:v>10.635</c:v>
                </c:pt>
                <c:pt idx="209">
                  <c:v>10.6366</c:v>
                </c:pt>
                <c:pt idx="210">
                  <c:v>10.638199999999999</c:v>
                </c:pt>
                <c:pt idx="211">
                  <c:v>10.6396</c:v>
                </c:pt>
                <c:pt idx="212">
                  <c:v>10.6411</c:v>
                </c:pt>
                <c:pt idx="213">
                  <c:v>10.6424</c:v>
                </c:pt>
                <c:pt idx="214">
                  <c:v>10.643700000000001</c:v>
                </c:pt>
                <c:pt idx="215">
                  <c:v>10.645</c:v>
                </c:pt>
                <c:pt idx="216">
                  <c:v>10.6462</c:v>
                </c:pt>
                <c:pt idx="217">
                  <c:v>10.6473</c:v>
                </c:pt>
                <c:pt idx="218">
                  <c:v>10.648400000000001</c:v>
                </c:pt>
                <c:pt idx="219">
                  <c:v>10.6494</c:v>
                </c:pt>
                <c:pt idx="220">
                  <c:v>10.650399999999999</c:v>
                </c:pt>
                <c:pt idx="221">
                  <c:v>10.651300000000001</c:v>
                </c:pt>
                <c:pt idx="222">
                  <c:v>10.652200000000001</c:v>
                </c:pt>
                <c:pt idx="223">
                  <c:v>10.6531</c:v>
                </c:pt>
                <c:pt idx="224">
                  <c:v>10.6539</c:v>
                </c:pt>
                <c:pt idx="225">
                  <c:v>10.6547</c:v>
                </c:pt>
                <c:pt idx="226">
                  <c:v>10.6554</c:v>
                </c:pt>
                <c:pt idx="227">
                  <c:v>10.6561</c:v>
                </c:pt>
                <c:pt idx="228">
                  <c:v>10.6568</c:v>
                </c:pt>
                <c:pt idx="229">
                  <c:v>10.657400000000001</c:v>
                </c:pt>
                <c:pt idx="230">
                  <c:v>10.658099999999999</c:v>
                </c:pt>
                <c:pt idx="231">
                  <c:v>10.6586</c:v>
                </c:pt>
                <c:pt idx="232">
                  <c:v>10.6592</c:v>
                </c:pt>
                <c:pt idx="233">
                  <c:v>10.659700000000001</c:v>
                </c:pt>
                <c:pt idx="234">
                  <c:v>10.6602</c:v>
                </c:pt>
                <c:pt idx="235">
                  <c:v>10.6607</c:v>
                </c:pt>
                <c:pt idx="236">
                  <c:v>10.661199999999999</c:v>
                </c:pt>
                <c:pt idx="237">
                  <c:v>10.6616</c:v>
                </c:pt>
                <c:pt idx="238">
                  <c:v>10.662100000000001</c:v>
                </c:pt>
                <c:pt idx="239">
                  <c:v>10.6625</c:v>
                </c:pt>
                <c:pt idx="240">
                  <c:v>10.662800000000001</c:v>
                </c:pt>
                <c:pt idx="241">
                  <c:v>10.6632</c:v>
                </c:pt>
                <c:pt idx="242">
                  <c:v>10.663500000000001</c:v>
                </c:pt>
                <c:pt idx="243">
                  <c:v>10.6639</c:v>
                </c:pt>
                <c:pt idx="244">
                  <c:v>10.664199999999999</c:v>
                </c:pt>
                <c:pt idx="245">
                  <c:v>10.6645</c:v>
                </c:pt>
                <c:pt idx="246">
                  <c:v>10.6647</c:v>
                </c:pt>
                <c:pt idx="247">
                  <c:v>10.664999999999999</c:v>
                </c:pt>
                <c:pt idx="248">
                  <c:v>10.6653</c:v>
                </c:pt>
                <c:pt idx="249">
                  <c:v>10.6655</c:v>
                </c:pt>
                <c:pt idx="250">
                  <c:v>10.665699999999999</c:v>
                </c:pt>
                <c:pt idx="251">
                  <c:v>10.665900000000001</c:v>
                </c:pt>
                <c:pt idx="252">
                  <c:v>10.6661</c:v>
                </c:pt>
                <c:pt idx="253">
                  <c:v>10.6663</c:v>
                </c:pt>
                <c:pt idx="254">
                  <c:v>10.666499999999999</c:v>
                </c:pt>
                <c:pt idx="255">
                  <c:v>10.666700000000001</c:v>
                </c:pt>
                <c:pt idx="256">
                  <c:v>10.6668</c:v>
                </c:pt>
                <c:pt idx="257">
                  <c:v>10.667</c:v>
                </c:pt>
                <c:pt idx="258">
                  <c:v>10.6671</c:v>
                </c:pt>
                <c:pt idx="259">
                  <c:v>10.667199999999999</c:v>
                </c:pt>
                <c:pt idx="260">
                  <c:v>10.667299999999999</c:v>
                </c:pt>
                <c:pt idx="261">
                  <c:v>10.667400000000001</c:v>
                </c:pt>
                <c:pt idx="262">
                  <c:v>10.6675</c:v>
                </c:pt>
                <c:pt idx="263">
                  <c:v>10.6676</c:v>
                </c:pt>
                <c:pt idx="264">
                  <c:v>10.6677</c:v>
                </c:pt>
                <c:pt idx="265">
                  <c:v>10.6678</c:v>
                </c:pt>
                <c:pt idx="266">
                  <c:v>10.667899999999999</c:v>
                </c:pt>
                <c:pt idx="267">
                  <c:v>10.667899999999999</c:v>
                </c:pt>
                <c:pt idx="268">
                  <c:v>10.667999999999999</c:v>
                </c:pt>
                <c:pt idx="269">
                  <c:v>10.667999999999999</c:v>
                </c:pt>
                <c:pt idx="270">
                  <c:v>10.667999999999999</c:v>
                </c:pt>
                <c:pt idx="271">
                  <c:v>10.668100000000001</c:v>
                </c:pt>
                <c:pt idx="272">
                  <c:v>10.668100000000001</c:v>
                </c:pt>
                <c:pt idx="273">
                  <c:v>10.668100000000001</c:v>
                </c:pt>
                <c:pt idx="274">
                  <c:v>10.668100000000001</c:v>
                </c:pt>
                <c:pt idx="275">
                  <c:v>10.668100000000001</c:v>
                </c:pt>
                <c:pt idx="276">
                  <c:v>10.668100000000001</c:v>
                </c:pt>
                <c:pt idx="277">
                  <c:v>10.668100000000001</c:v>
                </c:pt>
                <c:pt idx="278">
                  <c:v>10.668100000000001</c:v>
                </c:pt>
                <c:pt idx="279">
                  <c:v>10.667999999999999</c:v>
                </c:pt>
                <c:pt idx="280">
                  <c:v>10.667999999999999</c:v>
                </c:pt>
                <c:pt idx="281">
                  <c:v>10.667899999999999</c:v>
                </c:pt>
                <c:pt idx="282">
                  <c:v>10.667899999999999</c:v>
                </c:pt>
                <c:pt idx="283">
                  <c:v>10.6678</c:v>
                </c:pt>
                <c:pt idx="284">
                  <c:v>10.6678</c:v>
                </c:pt>
                <c:pt idx="285">
                  <c:v>10.6677</c:v>
                </c:pt>
                <c:pt idx="286">
                  <c:v>10.6676</c:v>
                </c:pt>
                <c:pt idx="287">
                  <c:v>10.6675</c:v>
                </c:pt>
                <c:pt idx="288">
                  <c:v>10.667400000000001</c:v>
                </c:pt>
                <c:pt idx="289">
                  <c:v>10.667299999999999</c:v>
                </c:pt>
                <c:pt idx="290">
                  <c:v>10.667199999999999</c:v>
                </c:pt>
                <c:pt idx="291">
                  <c:v>10.667</c:v>
                </c:pt>
                <c:pt idx="292">
                  <c:v>10.6669</c:v>
                </c:pt>
                <c:pt idx="293">
                  <c:v>10.6668</c:v>
                </c:pt>
                <c:pt idx="294">
                  <c:v>10.666600000000001</c:v>
                </c:pt>
                <c:pt idx="295">
                  <c:v>10.666399999999999</c:v>
                </c:pt>
                <c:pt idx="296">
                  <c:v>10.6662</c:v>
                </c:pt>
                <c:pt idx="297">
                  <c:v>10.6661</c:v>
                </c:pt>
                <c:pt idx="298">
                  <c:v>10.665800000000001</c:v>
                </c:pt>
                <c:pt idx="299">
                  <c:v>10.6656</c:v>
                </c:pt>
                <c:pt idx="300">
                  <c:v>10.6654</c:v>
                </c:pt>
                <c:pt idx="301">
                  <c:v>10.6652</c:v>
                </c:pt>
                <c:pt idx="302">
                  <c:v>10.664899999999999</c:v>
                </c:pt>
                <c:pt idx="303">
                  <c:v>10.6646</c:v>
                </c:pt>
                <c:pt idx="304">
                  <c:v>10.664400000000001</c:v>
                </c:pt>
                <c:pt idx="305">
                  <c:v>10.664099999999999</c:v>
                </c:pt>
                <c:pt idx="306">
                  <c:v>10.6637</c:v>
                </c:pt>
                <c:pt idx="307">
                  <c:v>10.663399999999999</c:v>
                </c:pt>
                <c:pt idx="308">
                  <c:v>10.6631</c:v>
                </c:pt>
                <c:pt idx="309">
                  <c:v>10.662699999999999</c:v>
                </c:pt>
                <c:pt idx="310">
                  <c:v>10.6623</c:v>
                </c:pt>
                <c:pt idx="311">
                  <c:v>10.661899999999999</c:v>
                </c:pt>
                <c:pt idx="312">
                  <c:v>10.6615</c:v>
                </c:pt>
                <c:pt idx="313">
                  <c:v>10.661</c:v>
                </c:pt>
                <c:pt idx="314">
                  <c:v>10.660600000000001</c:v>
                </c:pt>
                <c:pt idx="315">
                  <c:v>10.6601</c:v>
                </c:pt>
                <c:pt idx="316">
                  <c:v>10.659599999999999</c:v>
                </c:pt>
                <c:pt idx="317">
                  <c:v>10.659000000000001</c:v>
                </c:pt>
                <c:pt idx="318">
                  <c:v>10.6584</c:v>
                </c:pt>
                <c:pt idx="319">
                  <c:v>10.6578</c:v>
                </c:pt>
                <c:pt idx="320">
                  <c:v>10.6572</c:v>
                </c:pt>
                <c:pt idx="321">
                  <c:v>10.656599999999999</c:v>
                </c:pt>
                <c:pt idx="322">
                  <c:v>10.655900000000001</c:v>
                </c:pt>
                <c:pt idx="323">
                  <c:v>10.655200000000001</c:v>
                </c:pt>
                <c:pt idx="324">
                  <c:v>10.654400000000001</c:v>
                </c:pt>
                <c:pt idx="325">
                  <c:v>10.653600000000001</c:v>
                </c:pt>
                <c:pt idx="326">
                  <c:v>10.652799999999999</c:v>
                </c:pt>
                <c:pt idx="327">
                  <c:v>10.651899999999999</c:v>
                </c:pt>
                <c:pt idx="328">
                  <c:v>10.651</c:v>
                </c:pt>
                <c:pt idx="329">
                  <c:v>10.65</c:v>
                </c:pt>
                <c:pt idx="330">
                  <c:v>10.648999999999999</c:v>
                </c:pt>
                <c:pt idx="331">
                  <c:v>10.648</c:v>
                </c:pt>
                <c:pt idx="332">
                  <c:v>10.6469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10.6433</c:v>
                </c:pt>
                <c:pt idx="336">
                  <c:v>10.641999999999999</c:v>
                </c:pt>
                <c:pt idx="337">
                  <c:v>10.640599999999999</c:v>
                </c:pt>
                <c:pt idx="338">
                  <c:v>10.639200000000001</c:v>
                </c:pt>
                <c:pt idx="339">
                  <c:v>10.637600000000001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10.630800000000001</c:v>
                </c:pt>
                <c:pt idx="344">
                  <c:v>10.6289</c:v>
                </c:pt>
                <c:pt idx="345">
                  <c:v>10.626899999999999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10.610099999999999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10.597799999999999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10.5746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9.9853900000000007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9.7114700000000003</c:v>
                </c:pt>
                <c:pt idx="415">
                  <c:v>9.6710600000000007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9.4939599999999995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9.0571800000000007</c:v>
                </c:pt>
                <c:pt idx="428">
                  <c:v>8.9940899999999999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8.1613100000000003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7.0566199999999997</c:v>
                </c:pt>
                <c:pt idx="451">
                  <c:v>6.9424599999999996</c:v>
                </c:pt>
                <c:pt idx="452">
                  <c:v>6.8260399999999999</c:v>
                </c:pt>
                <c:pt idx="453">
                  <c:v>6.7073900000000002</c:v>
                </c:pt>
                <c:pt idx="454">
                  <c:v>6.5865200000000002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0.67055500000000001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3D-43ED-8837-CFE822470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 (Hz)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chemeClr val="bg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Gain (dB)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10"/>
        <c:crosses val="autoZero"/>
        <c:crossBetween val="midCat"/>
        <c:majorUnit val="1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Simuated Gain</a:t>
            </a:r>
          </a:p>
        </c:rich>
      </c:tx>
      <c:layout>
        <c:manualLayout>
          <c:xMode val="edge"/>
          <c:yMode val="edge"/>
          <c:x val="0.4079456071967148"/>
          <c:y val="1.9672131147540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86003055588207E-2"/>
          <c:y val="0.10131650135256989"/>
          <c:w val="0.86115877306381483"/>
          <c:h val="0.69237718594463338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'Combined Sim + PCB'!$B$1</c:f>
              <c:strCache>
                <c:ptCount val="1"/>
                <c:pt idx="0">
                  <c:v>Stage 1 Simulation (TL071)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PCB'!$B$2:$B$502</c:f>
              <c:numCache>
                <c:formatCode>General</c:formatCode>
                <c:ptCount val="501"/>
                <c:pt idx="0">
                  <c:v>-5.8582400000000003</c:v>
                </c:pt>
                <c:pt idx="1">
                  <c:v>-5.6627900000000002</c:v>
                </c:pt>
                <c:pt idx="2">
                  <c:v>-5.4675500000000001</c:v>
                </c:pt>
                <c:pt idx="3">
                  <c:v>-5.2725299999999997</c:v>
                </c:pt>
                <c:pt idx="4">
                  <c:v>-5.0777400000000004</c:v>
                </c:pt>
                <c:pt idx="5">
                  <c:v>-4.8831899999999999</c:v>
                </c:pt>
                <c:pt idx="6">
                  <c:v>-4.6888899999999998</c:v>
                </c:pt>
                <c:pt idx="7">
                  <c:v>-4.4948499999999996</c:v>
                </c:pt>
                <c:pt idx="8">
                  <c:v>-4.3010700000000002</c:v>
                </c:pt>
                <c:pt idx="9">
                  <c:v>-4.1075900000000001</c:v>
                </c:pt>
                <c:pt idx="10">
                  <c:v>-3.9144000000000001</c:v>
                </c:pt>
                <c:pt idx="11">
                  <c:v>-3.7215199999999999</c:v>
                </c:pt>
                <c:pt idx="12">
                  <c:v>-3.5289600000000001</c:v>
                </c:pt>
                <c:pt idx="13">
                  <c:v>-3.3367399999999998</c:v>
                </c:pt>
                <c:pt idx="14">
                  <c:v>-3.1448700000000001</c:v>
                </c:pt>
                <c:pt idx="15">
                  <c:v>-2.9533700000000001</c:v>
                </c:pt>
                <c:pt idx="16">
                  <c:v>-2.7622499999999999</c:v>
                </c:pt>
                <c:pt idx="17">
                  <c:v>-2.5715300000000001</c:v>
                </c:pt>
                <c:pt idx="18">
                  <c:v>-2.3812199999999999</c:v>
                </c:pt>
                <c:pt idx="19">
                  <c:v>-2.1913499999999999</c:v>
                </c:pt>
                <c:pt idx="20">
                  <c:v>-2.0019300000000002</c:v>
                </c:pt>
                <c:pt idx="21">
                  <c:v>-1.8129900000000001</c:v>
                </c:pt>
                <c:pt idx="22">
                  <c:v>-1.62453</c:v>
                </c:pt>
                <c:pt idx="23">
                  <c:v>-1.43658</c:v>
                </c:pt>
                <c:pt idx="24">
                  <c:v>-1.2491699999999999</c:v>
                </c:pt>
                <c:pt idx="25">
                  <c:v>-1.0623100000000001</c:v>
                </c:pt>
                <c:pt idx="26">
                  <c:v>-0.87602999999999998</c:v>
                </c:pt>
                <c:pt idx="27">
                  <c:v>-0.69034799999999996</c:v>
                </c:pt>
                <c:pt idx="28">
                  <c:v>-0.50529000000000002</c:v>
                </c:pt>
                <c:pt idx="29">
                  <c:v>-0.32088100000000003</c:v>
                </c:pt>
                <c:pt idx="30">
                  <c:v>-0.13714799999999999</c:v>
                </c:pt>
                <c:pt idx="31">
                  <c:v>4.58847E-2</c:v>
                </c:pt>
                <c:pt idx="32">
                  <c:v>0.228188</c:v>
                </c:pt>
                <c:pt idx="33">
                  <c:v>0.40973500000000002</c:v>
                </c:pt>
                <c:pt idx="34">
                  <c:v>0.59049499999999999</c:v>
                </c:pt>
                <c:pt idx="35">
                  <c:v>0.77044000000000001</c:v>
                </c:pt>
                <c:pt idx="36">
                  <c:v>0.94953900000000002</c:v>
                </c:pt>
                <c:pt idx="37">
                  <c:v>1.1277600000000001</c:v>
                </c:pt>
                <c:pt idx="38">
                  <c:v>1.30507</c:v>
                </c:pt>
                <c:pt idx="39">
                  <c:v>1.4814400000000001</c:v>
                </c:pt>
                <c:pt idx="40">
                  <c:v>1.65683</c:v>
                </c:pt>
                <c:pt idx="41">
                  <c:v>1.83121</c:v>
                </c:pt>
                <c:pt idx="42">
                  <c:v>2.0045500000000001</c:v>
                </c:pt>
                <c:pt idx="43">
                  <c:v>2.1768000000000001</c:v>
                </c:pt>
                <c:pt idx="44">
                  <c:v>2.3479299999999999</c:v>
                </c:pt>
                <c:pt idx="45">
                  <c:v>2.5179100000000001</c:v>
                </c:pt>
                <c:pt idx="46">
                  <c:v>2.68669</c:v>
                </c:pt>
                <c:pt idx="47">
                  <c:v>2.85425</c:v>
                </c:pt>
                <c:pt idx="48">
                  <c:v>3.0205299999999999</c:v>
                </c:pt>
                <c:pt idx="49">
                  <c:v>3.1855000000000002</c:v>
                </c:pt>
                <c:pt idx="50">
                  <c:v>3.34911</c:v>
                </c:pt>
                <c:pt idx="51">
                  <c:v>3.5113400000000001</c:v>
                </c:pt>
                <c:pt idx="52">
                  <c:v>3.6721400000000002</c:v>
                </c:pt>
                <c:pt idx="53">
                  <c:v>3.8314699999999999</c:v>
                </c:pt>
                <c:pt idx="54">
                  <c:v>3.9892799999999999</c:v>
                </c:pt>
                <c:pt idx="55">
                  <c:v>4.1455399999999996</c:v>
                </c:pt>
                <c:pt idx="56">
                  <c:v>4.3002099999999999</c:v>
                </c:pt>
                <c:pt idx="57">
                  <c:v>4.4532400000000001</c:v>
                </c:pt>
                <c:pt idx="58">
                  <c:v>4.6045999999999996</c:v>
                </c:pt>
                <c:pt idx="59">
                  <c:v>4.7542499999999999</c:v>
                </c:pt>
                <c:pt idx="60">
                  <c:v>4.9021299999999997</c:v>
                </c:pt>
                <c:pt idx="61">
                  <c:v>5.0482300000000002</c:v>
                </c:pt>
                <c:pt idx="62">
                  <c:v>5.1924900000000003</c:v>
                </c:pt>
                <c:pt idx="63">
                  <c:v>5.3348899999999997</c:v>
                </c:pt>
                <c:pt idx="64">
                  <c:v>5.4753699999999998</c:v>
                </c:pt>
                <c:pt idx="65">
                  <c:v>5.6139200000000002</c:v>
                </c:pt>
                <c:pt idx="66">
                  <c:v>5.7504900000000001</c:v>
                </c:pt>
                <c:pt idx="67">
                  <c:v>5.88504</c:v>
                </c:pt>
                <c:pt idx="68">
                  <c:v>6.0175599999999996</c:v>
                </c:pt>
                <c:pt idx="69">
                  <c:v>6.1479999999999997</c:v>
                </c:pt>
                <c:pt idx="70">
                  <c:v>6.2763400000000003</c:v>
                </c:pt>
                <c:pt idx="71">
                  <c:v>6.4025400000000001</c:v>
                </c:pt>
                <c:pt idx="72">
                  <c:v>6.5266000000000002</c:v>
                </c:pt>
                <c:pt idx="73">
                  <c:v>6.6484699999999997</c:v>
                </c:pt>
                <c:pt idx="74">
                  <c:v>6.7681300000000002</c:v>
                </c:pt>
                <c:pt idx="75">
                  <c:v>6.88558</c:v>
                </c:pt>
                <c:pt idx="76">
                  <c:v>7.0007900000000003</c:v>
                </c:pt>
                <c:pt idx="77">
                  <c:v>7.11374</c:v>
                </c:pt>
                <c:pt idx="78">
                  <c:v>7.2244200000000003</c:v>
                </c:pt>
                <c:pt idx="79">
                  <c:v>7.3328199999999999</c:v>
                </c:pt>
                <c:pt idx="80">
                  <c:v>7.43893</c:v>
                </c:pt>
                <c:pt idx="81">
                  <c:v>7.5427400000000002</c:v>
                </c:pt>
                <c:pt idx="82">
                  <c:v>7.6442600000000001</c:v>
                </c:pt>
                <c:pt idx="83">
                  <c:v>7.7434700000000003</c:v>
                </c:pt>
                <c:pt idx="84">
                  <c:v>7.8403799999999997</c:v>
                </c:pt>
                <c:pt idx="85">
                  <c:v>7.9349999999999996</c:v>
                </c:pt>
                <c:pt idx="86">
                  <c:v>8.0273199999999996</c:v>
                </c:pt>
                <c:pt idx="87">
                  <c:v>8.1173599999999997</c:v>
                </c:pt>
                <c:pt idx="88">
                  <c:v>8.2051300000000005</c:v>
                </c:pt>
                <c:pt idx="89">
                  <c:v>8.2906300000000002</c:v>
                </c:pt>
                <c:pt idx="90">
                  <c:v>8.3739000000000008</c:v>
                </c:pt>
                <c:pt idx="91">
                  <c:v>8.4549299999999992</c:v>
                </c:pt>
                <c:pt idx="92">
                  <c:v>8.5337499999999995</c:v>
                </c:pt>
                <c:pt idx="93">
                  <c:v>8.6103900000000007</c:v>
                </c:pt>
                <c:pt idx="94">
                  <c:v>8.6848600000000005</c:v>
                </c:pt>
                <c:pt idx="95">
                  <c:v>8.7571999999999992</c:v>
                </c:pt>
                <c:pt idx="96">
                  <c:v>8.82742</c:v>
                </c:pt>
                <c:pt idx="97">
                  <c:v>8.8955599999999997</c:v>
                </c:pt>
                <c:pt idx="98">
                  <c:v>8.9616500000000006</c:v>
                </c:pt>
                <c:pt idx="99">
                  <c:v>9.0257199999999997</c:v>
                </c:pt>
                <c:pt idx="100">
                  <c:v>9.0877999999999997</c:v>
                </c:pt>
                <c:pt idx="101">
                  <c:v>9.1479300000000006</c:v>
                </c:pt>
                <c:pt idx="102">
                  <c:v>9.2061399999999995</c:v>
                </c:pt>
                <c:pt idx="103">
                  <c:v>9.2624700000000004</c:v>
                </c:pt>
                <c:pt idx="104">
                  <c:v>9.3169500000000003</c:v>
                </c:pt>
                <c:pt idx="105">
                  <c:v>9.3696300000000008</c:v>
                </c:pt>
                <c:pt idx="106">
                  <c:v>9.4205400000000008</c:v>
                </c:pt>
                <c:pt idx="107">
                  <c:v>9.4697300000000002</c:v>
                </c:pt>
                <c:pt idx="108">
                  <c:v>9.5172299999999996</c:v>
                </c:pt>
                <c:pt idx="109">
                  <c:v>9.5630799999999994</c:v>
                </c:pt>
                <c:pt idx="110">
                  <c:v>9.6073299999999993</c:v>
                </c:pt>
                <c:pt idx="111">
                  <c:v>9.65001</c:v>
                </c:pt>
                <c:pt idx="112">
                  <c:v>9.69116</c:v>
                </c:pt>
                <c:pt idx="113">
                  <c:v>9.7308299999999992</c:v>
                </c:pt>
                <c:pt idx="114">
                  <c:v>9.7690599999999996</c:v>
                </c:pt>
                <c:pt idx="115">
                  <c:v>9.8058800000000002</c:v>
                </c:pt>
                <c:pt idx="116">
                  <c:v>9.8413400000000006</c:v>
                </c:pt>
                <c:pt idx="117">
                  <c:v>9.8754799999999996</c:v>
                </c:pt>
                <c:pt idx="118">
                  <c:v>9.9083400000000008</c:v>
                </c:pt>
                <c:pt idx="119">
                  <c:v>9.9399499999999996</c:v>
                </c:pt>
                <c:pt idx="120">
                  <c:v>9.9703499999999998</c:v>
                </c:pt>
                <c:pt idx="121">
                  <c:v>9.9995899999999995</c:v>
                </c:pt>
                <c:pt idx="122">
                  <c:v>10.027699999999999</c:v>
                </c:pt>
                <c:pt idx="123">
                  <c:v>10.0547</c:v>
                </c:pt>
                <c:pt idx="124">
                  <c:v>10.0807</c:v>
                </c:pt>
                <c:pt idx="125">
                  <c:v>10.105600000000001</c:v>
                </c:pt>
                <c:pt idx="126">
                  <c:v>10.1295</c:v>
                </c:pt>
                <c:pt idx="127">
                  <c:v>10.1525</c:v>
                </c:pt>
                <c:pt idx="128">
                  <c:v>10.1746</c:v>
                </c:pt>
                <c:pt idx="129">
                  <c:v>10.1958</c:v>
                </c:pt>
                <c:pt idx="130">
                  <c:v>10.216100000000001</c:v>
                </c:pt>
                <c:pt idx="131">
                  <c:v>10.2356</c:v>
                </c:pt>
                <c:pt idx="132">
                  <c:v>10.254300000000001</c:v>
                </c:pt>
                <c:pt idx="133">
                  <c:v>10.2723</c:v>
                </c:pt>
                <c:pt idx="134">
                  <c:v>10.2895</c:v>
                </c:pt>
                <c:pt idx="135">
                  <c:v>10.305899999999999</c:v>
                </c:pt>
                <c:pt idx="136">
                  <c:v>10.3218</c:v>
                </c:pt>
                <c:pt idx="137">
                  <c:v>10.3369</c:v>
                </c:pt>
                <c:pt idx="138">
                  <c:v>10.3514</c:v>
                </c:pt>
                <c:pt idx="139">
                  <c:v>10.3653</c:v>
                </c:pt>
                <c:pt idx="140">
                  <c:v>10.3787</c:v>
                </c:pt>
                <c:pt idx="141">
                  <c:v>10.391400000000001</c:v>
                </c:pt>
                <c:pt idx="142">
                  <c:v>10.403700000000001</c:v>
                </c:pt>
                <c:pt idx="143">
                  <c:v>10.4154</c:v>
                </c:pt>
                <c:pt idx="144">
                  <c:v>10.426600000000001</c:v>
                </c:pt>
                <c:pt idx="145">
                  <c:v>10.4373</c:v>
                </c:pt>
                <c:pt idx="146">
                  <c:v>10.4476</c:v>
                </c:pt>
                <c:pt idx="147">
                  <c:v>10.4574</c:v>
                </c:pt>
                <c:pt idx="148">
                  <c:v>10.466799999999999</c:v>
                </c:pt>
                <c:pt idx="149">
                  <c:v>10.4758</c:v>
                </c:pt>
                <c:pt idx="150">
                  <c:v>10.484500000000001</c:v>
                </c:pt>
                <c:pt idx="151">
                  <c:v>10.492699999999999</c:v>
                </c:pt>
                <c:pt idx="152">
                  <c:v>10.5006</c:v>
                </c:pt>
                <c:pt idx="153">
                  <c:v>10.5082</c:v>
                </c:pt>
                <c:pt idx="154">
                  <c:v>10.5154</c:v>
                </c:pt>
                <c:pt idx="155">
                  <c:v>10.5223</c:v>
                </c:pt>
                <c:pt idx="156">
                  <c:v>10.5289</c:v>
                </c:pt>
                <c:pt idx="157">
                  <c:v>10.5352</c:v>
                </c:pt>
                <c:pt idx="158">
                  <c:v>10.5413</c:v>
                </c:pt>
                <c:pt idx="159">
                  <c:v>10.547000000000001</c:v>
                </c:pt>
                <c:pt idx="160">
                  <c:v>10.5526</c:v>
                </c:pt>
                <c:pt idx="161">
                  <c:v>10.5579</c:v>
                </c:pt>
                <c:pt idx="162">
                  <c:v>10.562900000000001</c:v>
                </c:pt>
                <c:pt idx="163">
                  <c:v>10.5677</c:v>
                </c:pt>
                <c:pt idx="164">
                  <c:v>10.5724</c:v>
                </c:pt>
                <c:pt idx="165">
                  <c:v>10.5768</c:v>
                </c:pt>
                <c:pt idx="166">
                  <c:v>10.581</c:v>
                </c:pt>
                <c:pt idx="167">
                  <c:v>10.585000000000001</c:v>
                </c:pt>
                <c:pt idx="168">
                  <c:v>10.588900000000001</c:v>
                </c:pt>
                <c:pt idx="169">
                  <c:v>10.592599999999999</c:v>
                </c:pt>
                <c:pt idx="170">
                  <c:v>10.5961</c:v>
                </c:pt>
                <c:pt idx="171">
                  <c:v>10.599500000000001</c:v>
                </c:pt>
                <c:pt idx="172">
                  <c:v>10.6027</c:v>
                </c:pt>
                <c:pt idx="173">
                  <c:v>10.6058</c:v>
                </c:pt>
                <c:pt idx="174">
                  <c:v>10.608700000000001</c:v>
                </c:pt>
                <c:pt idx="175">
                  <c:v>10.611499999999999</c:v>
                </c:pt>
                <c:pt idx="176">
                  <c:v>10.6142</c:v>
                </c:pt>
                <c:pt idx="177">
                  <c:v>10.6168</c:v>
                </c:pt>
                <c:pt idx="178">
                  <c:v>10.619199999999999</c:v>
                </c:pt>
                <c:pt idx="179">
                  <c:v>10.621499999999999</c:v>
                </c:pt>
                <c:pt idx="180">
                  <c:v>10.623799999999999</c:v>
                </c:pt>
                <c:pt idx="181">
                  <c:v>10.6259</c:v>
                </c:pt>
                <c:pt idx="182">
                  <c:v>10.628</c:v>
                </c:pt>
                <c:pt idx="183">
                  <c:v>10.629899999999999</c:v>
                </c:pt>
                <c:pt idx="184">
                  <c:v>10.6318</c:v>
                </c:pt>
                <c:pt idx="185">
                  <c:v>10.633599999999999</c:v>
                </c:pt>
                <c:pt idx="186">
                  <c:v>10.635300000000001</c:v>
                </c:pt>
                <c:pt idx="187">
                  <c:v>10.636900000000001</c:v>
                </c:pt>
                <c:pt idx="188">
                  <c:v>10.638400000000001</c:v>
                </c:pt>
                <c:pt idx="189">
                  <c:v>10.639900000000001</c:v>
                </c:pt>
                <c:pt idx="190">
                  <c:v>10.641299999999999</c:v>
                </c:pt>
                <c:pt idx="191">
                  <c:v>10.6427</c:v>
                </c:pt>
                <c:pt idx="192">
                  <c:v>10.644</c:v>
                </c:pt>
                <c:pt idx="193">
                  <c:v>10.645200000000001</c:v>
                </c:pt>
                <c:pt idx="194">
                  <c:v>10.6464</c:v>
                </c:pt>
                <c:pt idx="195">
                  <c:v>10.647500000000001</c:v>
                </c:pt>
                <c:pt idx="196">
                  <c:v>10.6486</c:v>
                </c:pt>
                <c:pt idx="197">
                  <c:v>10.6496</c:v>
                </c:pt>
                <c:pt idx="198">
                  <c:v>10.650600000000001</c:v>
                </c:pt>
                <c:pt idx="199">
                  <c:v>10.6515</c:v>
                </c:pt>
                <c:pt idx="200">
                  <c:v>10.6524</c:v>
                </c:pt>
                <c:pt idx="201">
                  <c:v>10.6533</c:v>
                </c:pt>
                <c:pt idx="202">
                  <c:v>10.6541</c:v>
                </c:pt>
                <c:pt idx="203">
                  <c:v>10.6549</c:v>
                </c:pt>
                <c:pt idx="204">
                  <c:v>10.6556</c:v>
                </c:pt>
                <c:pt idx="205">
                  <c:v>10.6563</c:v>
                </c:pt>
                <c:pt idx="206">
                  <c:v>10.657</c:v>
                </c:pt>
                <c:pt idx="207">
                  <c:v>10.6577</c:v>
                </c:pt>
                <c:pt idx="208">
                  <c:v>10.658300000000001</c:v>
                </c:pt>
                <c:pt idx="209">
                  <c:v>10.658899999999999</c:v>
                </c:pt>
                <c:pt idx="210">
                  <c:v>10.6594</c:v>
                </c:pt>
                <c:pt idx="211">
                  <c:v>10.66</c:v>
                </c:pt>
                <c:pt idx="212">
                  <c:v>10.660500000000001</c:v>
                </c:pt>
                <c:pt idx="213">
                  <c:v>10.661</c:v>
                </c:pt>
                <c:pt idx="214">
                  <c:v>10.6614</c:v>
                </c:pt>
                <c:pt idx="215">
                  <c:v>10.661899999999999</c:v>
                </c:pt>
                <c:pt idx="216">
                  <c:v>10.6623</c:v>
                </c:pt>
                <c:pt idx="217">
                  <c:v>10.662699999999999</c:v>
                </c:pt>
                <c:pt idx="218">
                  <c:v>10.6631</c:v>
                </c:pt>
                <c:pt idx="219">
                  <c:v>10.663500000000001</c:v>
                </c:pt>
                <c:pt idx="220">
                  <c:v>10.6638</c:v>
                </c:pt>
                <c:pt idx="221">
                  <c:v>10.664199999999999</c:v>
                </c:pt>
                <c:pt idx="222">
                  <c:v>10.6645</c:v>
                </c:pt>
                <c:pt idx="223">
                  <c:v>10.6648</c:v>
                </c:pt>
                <c:pt idx="224">
                  <c:v>10.665100000000001</c:v>
                </c:pt>
                <c:pt idx="225">
                  <c:v>10.6653</c:v>
                </c:pt>
                <c:pt idx="226">
                  <c:v>10.6656</c:v>
                </c:pt>
                <c:pt idx="227">
                  <c:v>10.665900000000001</c:v>
                </c:pt>
                <c:pt idx="228">
                  <c:v>10.6661</c:v>
                </c:pt>
                <c:pt idx="229">
                  <c:v>10.6663</c:v>
                </c:pt>
                <c:pt idx="230">
                  <c:v>10.666499999999999</c:v>
                </c:pt>
                <c:pt idx="231">
                  <c:v>10.666700000000001</c:v>
                </c:pt>
                <c:pt idx="232">
                  <c:v>10.6669</c:v>
                </c:pt>
                <c:pt idx="233">
                  <c:v>10.6671</c:v>
                </c:pt>
                <c:pt idx="234">
                  <c:v>10.667299999999999</c:v>
                </c:pt>
                <c:pt idx="235">
                  <c:v>10.6675</c:v>
                </c:pt>
                <c:pt idx="236">
                  <c:v>10.6676</c:v>
                </c:pt>
                <c:pt idx="237">
                  <c:v>10.6678</c:v>
                </c:pt>
                <c:pt idx="238">
                  <c:v>10.667899999999999</c:v>
                </c:pt>
                <c:pt idx="239">
                  <c:v>10.668100000000001</c:v>
                </c:pt>
                <c:pt idx="240">
                  <c:v>10.668200000000001</c:v>
                </c:pt>
                <c:pt idx="241">
                  <c:v>10.6683</c:v>
                </c:pt>
                <c:pt idx="242">
                  <c:v>10.6684</c:v>
                </c:pt>
                <c:pt idx="243">
                  <c:v>10.6685</c:v>
                </c:pt>
                <c:pt idx="244">
                  <c:v>10.6686</c:v>
                </c:pt>
                <c:pt idx="245">
                  <c:v>10.668699999999999</c:v>
                </c:pt>
                <c:pt idx="246">
                  <c:v>10.668799999999999</c:v>
                </c:pt>
                <c:pt idx="247">
                  <c:v>10.668900000000001</c:v>
                </c:pt>
                <c:pt idx="248">
                  <c:v>10.669</c:v>
                </c:pt>
                <c:pt idx="249">
                  <c:v>10.669</c:v>
                </c:pt>
                <c:pt idx="250">
                  <c:v>10.6691</c:v>
                </c:pt>
                <c:pt idx="251">
                  <c:v>10.6692</c:v>
                </c:pt>
                <c:pt idx="252">
                  <c:v>10.6692</c:v>
                </c:pt>
                <c:pt idx="253">
                  <c:v>10.6693</c:v>
                </c:pt>
                <c:pt idx="254">
                  <c:v>10.6693</c:v>
                </c:pt>
                <c:pt idx="255">
                  <c:v>10.6693</c:v>
                </c:pt>
                <c:pt idx="256">
                  <c:v>10.6694</c:v>
                </c:pt>
                <c:pt idx="257">
                  <c:v>10.6694</c:v>
                </c:pt>
                <c:pt idx="258">
                  <c:v>10.6694</c:v>
                </c:pt>
                <c:pt idx="259">
                  <c:v>10.669499999999999</c:v>
                </c:pt>
                <c:pt idx="260">
                  <c:v>10.669499999999999</c:v>
                </c:pt>
                <c:pt idx="261">
                  <c:v>10.669499999999999</c:v>
                </c:pt>
                <c:pt idx="262">
                  <c:v>10.669499999999999</c:v>
                </c:pt>
                <c:pt idx="263">
                  <c:v>10.669499999999999</c:v>
                </c:pt>
                <c:pt idx="264">
                  <c:v>10.669499999999999</c:v>
                </c:pt>
                <c:pt idx="265">
                  <c:v>10.669499999999999</c:v>
                </c:pt>
                <c:pt idx="266">
                  <c:v>10.669499999999999</c:v>
                </c:pt>
                <c:pt idx="267">
                  <c:v>10.669499999999999</c:v>
                </c:pt>
                <c:pt idx="268">
                  <c:v>10.6694</c:v>
                </c:pt>
                <c:pt idx="269">
                  <c:v>10.6694</c:v>
                </c:pt>
                <c:pt idx="270">
                  <c:v>10.6694</c:v>
                </c:pt>
                <c:pt idx="271">
                  <c:v>10.6694</c:v>
                </c:pt>
                <c:pt idx="272">
                  <c:v>10.6693</c:v>
                </c:pt>
                <c:pt idx="273">
                  <c:v>10.6693</c:v>
                </c:pt>
                <c:pt idx="274">
                  <c:v>10.6692</c:v>
                </c:pt>
                <c:pt idx="275">
                  <c:v>10.6692</c:v>
                </c:pt>
                <c:pt idx="276">
                  <c:v>10.6691</c:v>
                </c:pt>
                <c:pt idx="277">
                  <c:v>10.6691</c:v>
                </c:pt>
                <c:pt idx="278">
                  <c:v>10.669</c:v>
                </c:pt>
                <c:pt idx="279">
                  <c:v>10.668900000000001</c:v>
                </c:pt>
                <c:pt idx="280">
                  <c:v>10.668799999999999</c:v>
                </c:pt>
                <c:pt idx="281">
                  <c:v>10.668799999999999</c:v>
                </c:pt>
                <c:pt idx="282">
                  <c:v>10.668699999999999</c:v>
                </c:pt>
                <c:pt idx="283">
                  <c:v>10.6686</c:v>
                </c:pt>
                <c:pt idx="284">
                  <c:v>10.6685</c:v>
                </c:pt>
                <c:pt idx="285">
                  <c:v>10.6684</c:v>
                </c:pt>
                <c:pt idx="286">
                  <c:v>10.668200000000001</c:v>
                </c:pt>
                <c:pt idx="287">
                  <c:v>10.668100000000001</c:v>
                </c:pt>
                <c:pt idx="288">
                  <c:v>10.667999999999999</c:v>
                </c:pt>
                <c:pt idx="289">
                  <c:v>10.667899999999999</c:v>
                </c:pt>
                <c:pt idx="290">
                  <c:v>10.6677</c:v>
                </c:pt>
                <c:pt idx="291">
                  <c:v>10.6676</c:v>
                </c:pt>
                <c:pt idx="292">
                  <c:v>10.667400000000001</c:v>
                </c:pt>
                <c:pt idx="293">
                  <c:v>10.667199999999999</c:v>
                </c:pt>
                <c:pt idx="294">
                  <c:v>10.667</c:v>
                </c:pt>
                <c:pt idx="295">
                  <c:v>10.6669</c:v>
                </c:pt>
                <c:pt idx="296">
                  <c:v>10.666700000000001</c:v>
                </c:pt>
                <c:pt idx="297">
                  <c:v>10.666399999999999</c:v>
                </c:pt>
                <c:pt idx="298">
                  <c:v>10.6662</c:v>
                </c:pt>
                <c:pt idx="299">
                  <c:v>10.666</c:v>
                </c:pt>
                <c:pt idx="300">
                  <c:v>10.665699999999999</c:v>
                </c:pt>
                <c:pt idx="301">
                  <c:v>10.6655</c:v>
                </c:pt>
                <c:pt idx="302">
                  <c:v>10.6652</c:v>
                </c:pt>
                <c:pt idx="303">
                  <c:v>10.664899999999999</c:v>
                </c:pt>
                <c:pt idx="304">
                  <c:v>10.6646</c:v>
                </c:pt>
                <c:pt idx="305">
                  <c:v>10.664300000000001</c:v>
                </c:pt>
                <c:pt idx="306">
                  <c:v>10.664</c:v>
                </c:pt>
                <c:pt idx="307">
                  <c:v>10.6637</c:v>
                </c:pt>
                <c:pt idx="308">
                  <c:v>10.6633</c:v>
                </c:pt>
                <c:pt idx="309">
                  <c:v>10.6629</c:v>
                </c:pt>
                <c:pt idx="310">
                  <c:v>10.6625</c:v>
                </c:pt>
                <c:pt idx="311">
                  <c:v>10.662100000000001</c:v>
                </c:pt>
                <c:pt idx="312">
                  <c:v>10.6617</c:v>
                </c:pt>
                <c:pt idx="313">
                  <c:v>10.661199999999999</c:v>
                </c:pt>
                <c:pt idx="314">
                  <c:v>10.6607</c:v>
                </c:pt>
                <c:pt idx="315">
                  <c:v>10.6602</c:v>
                </c:pt>
                <c:pt idx="316">
                  <c:v>10.659700000000001</c:v>
                </c:pt>
                <c:pt idx="317">
                  <c:v>10.6592</c:v>
                </c:pt>
                <c:pt idx="318">
                  <c:v>10.6586</c:v>
                </c:pt>
                <c:pt idx="319">
                  <c:v>10.657999999999999</c:v>
                </c:pt>
                <c:pt idx="320">
                  <c:v>10.657400000000001</c:v>
                </c:pt>
                <c:pt idx="321">
                  <c:v>10.656700000000001</c:v>
                </c:pt>
                <c:pt idx="322">
                  <c:v>10.656000000000001</c:v>
                </c:pt>
                <c:pt idx="323">
                  <c:v>10.6553</c:v>
                </c:pt>
                <c:pt idx="324">
                  <c:v>10.654500000000001</c:v>
                </c:pt>
                <c:pt idx="325">
                  <c:v>10.653700000000001</c:v>
                </c:pt>
                <c:pt idx="326">
                  <c:v>10.652900000000001</c:v>
                </c:pt>
                <c:pt idx="327">
                  <c:v>10.651999999999999</c:v>
                </c:pt>
                <c:pt idx="328">
                  <c:v>10.6511</c:v>
                </c:pt>
                <c:pt idx="329">
                  <c:v>10.6501</c:v>
                </c:pt>
                <c:pt idx="330">
                  <c:v>10.649100000000001</c:v>
                </c:pt>
                <c:pt idx="331">
                  <c:v>10.648099999999999</c:v>
                </c:pt>
                <c:pt idx="332">
                  <c:v>10.647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10.6434</c:v>
                </c:pt>
                <c:pt idx="336">
                  <c:v>10.641999999999999</c:v>
                </c:pt>
                <c:pt idx="337">
                  <c:v>10.640700000000001</c:v>
                </c:pt>
                <c:pt idx="338">
                  <c:v>10.639200000000001</c:v>
                </c:pt>
                <c:pt idx="339">
                  <c:v>10.637700000000001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10.6309</c:v>
                </c:pt>
                <c:pt idx="344">
                  <c:v>10.629</c:v>
                </c:pt>
                <c:pt idx="345">
                  <c:v>10.627000000000001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10.610200000000001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10.597899999999999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10.5747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10.538399999999999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9.9854000000000003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9.7114799999999999</c:v>
                </c:pt>
                <c:pt idx="415">
                  <c:v>9.6710700000000003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9.4939699999999991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9.0571900000000003</c:v>
                </c:pt>
                <c:pt idx="428">
                  <c:v>8.9940999999999995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8.1613199999999999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7.0566300000000002</c:v>
                </c:pt>
                <c:pt idx="451">
                  <c:v>6.9424599999999996</c:v>
                </c:pt>
                <c:pt idx="452">
                  <c:v>6.8260500000000004</c:v>
                </c:pt>
                <c:pt idx="453">
                  <c:v>6.7073900000000002</c:v>
                </c:pt>
                <c:pt idx="454">
                  <c:v>6.5865299999999998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0.67055600000000004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6-498A-9274-FF69B7EA4199}"/>
            </c:ext>
          </c:extLst>
        </c:ser>
        <c:ser>
          <c:idx val="3"/>
          <c:order val="1"/>
          <c:tx>
            <c:strRef>
              <c:f>'Combined Sim + PCB'!$C$1</c:f>
              <c:strCache>
                <c:ptCount val="1"/>
                <c:pt idx="0">
                  <c:v>Stage 2 Simulation (OPA551)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PCB'!$C$2:$C$502</c:f>
              <c:numCache>
                <c:formatCode>General</c:formatCode>
                <c:ptCount val="501"/>
                <c:pt idx="0">
                  <c:v>-24.825399999999998</c:v>
                </c:pt>
                <c:pt idx="1">
                  <c:v>-24.432500000000001</c:v>
                </c:pt>
                <c:pt idx="2">
                  <c:v>-24.04</c:v>
                </c:pt>
                <c:pt idx="3">
                  <c:v>-23.6478</c:v>
                </c:pt>
                <c:pt idx="4">
                  <c:v>-23.256</c:v>
                </c:pt>
                <c:pt idx="5">
                  <c:v>-22.8645</c:v>
                </c:pt>
                <c:pt idx="6">
                  <c:v>-22.473500000000001</c:v>
                </c:pt>
                <c:pt idx="7">
                  <c:v>-22.082899999999999</c:v>
                </c:pt>
                <c:pt idx="8">
                  <c:v>-21.692699999999999</c:v>
                </c:pt>
                <c:pt idx="9">
                  <c:v>-21.302900000000001</c:v>
                </c:pt>
                <c:pt idx="10">
                  <c:v>-20.913599999999999</c:v>
                </c:pt>
                <c:pt idx="11">
                  <c:v>-20.524799999999999</c:v>
                </c:pt>
                <c:pt idx="12">
                  <c:v>-20.136500000000002</c:v>
                </c:pt>
                <c:pt idx="13">
                  <c:v>-19.748799999999999</c:v>
                </c:pt>
                <c:pt idx="14">
                  <c:v>-19.361599999999999</c:v>
                </c:pt>
                <c:pt idx="15">
                  <c:v>-18.975000000000001</c:v>
                </c:pt>
                <c:pt idx="16">
                  <c:v>-18.588999999999999</c:v>
                </c:pt>
                <c:pt idx="17">
                  <c:v>-18.203600000000002</c:v>
                </c:pt>
                <c:pt idx="18">
                  <c:v>-17.818899999999999</c:v>
                </c:pt>
                <c:pt idx="19">
                  <c:v>-17.434899999999999</c:v>
                </c:pt>
                <c:pt idx="20">
                  <c:v>-17.051600000000001</c:v>
                </c:pt>
                <c:pt idx="21">
                  <c:v>-16.669</c:v>
                </c:pt>
                <c:pt idx="22">
                  <c:v>-16.287199999999999</c:v>
                </c:pt>
                <c:pt idx="23">
                  <c:v>-15.9063</c:v>
                </c:pt>
                <c:pt idx="24">
                  <c:v>-15.526199999999999</c:v>
                </c:pt>
                <c:pt idx="25">
                  <c:v>-15.1469</c:v>
                </c:pt>
                <c:pt idx="26">
                  <c:v>-14.768599999999999</c:v>
                </c:pt>
                <c:pt idx="27">
                  <c:v>-14.391299999999999</c:v>
                </c:pt>
                <c:pt idx="28">
                  <c:v>-14.015000000000001</c:v>
                </c:pt>
                <c:pt idx="29">
                  <c:v>-13.639699999999999</c:v>
                </c:pt>
                <c:pt idx="30">
                  <c:v>-13.265499999999999</c:v>
                </c:pt>
                <c:pt idx="31">
                  <c:v>-12.8924</c:v>
                </c:pt>
                <c:pt idx="32">
                  <c:v>-12.5205</c:v>
                </c:pt>
                <c:pt idx="33">
                  <c:v>-12.149800000000001</c:v>
                </c:pt>
                <c:pt idx="34">
                  <c:v>-11.7804</c:v>
                </c:pt>
                <c:pt idx="35">
                  <c:v>-11.4122</c:v>
                </c:pt>
                <c:pt idx="36">
                  <c:v>-11.045500000000001</c:v>
                </c:pt>
                <c:pt idx="37">
                  <c:v>-10.680199999999999</c:v>
                </c:pt>
                <c:pt idx="38">
                  <c:v>-10.3164</c:v>
                </c:pt>
                <c:pt idx="39">
                  <c:v>-9.9540699999999998</c:v>
                </c:pt>
                <c:pt idx="40">
                  <c:v>-9.5933600000000006</c:v>
                </c:pt>
                <c:pt idx="41">
                  <c:v>-9.2342999999999993</c:v>
                </c:pt>
                <c:pt idx="42">
                  <c:v>-8.8769500000000008</c:v>
                </c:pt>
                <c:pt idx="43">
                  <c:v>-8.5213699999999992</c:v>
                </c:pt>
                <c:pt idx="44">
                  <c:v>-8.1676300000000008</c:v>
                </c:pt>
                <c:pt idx="45">
                  <c:v>-7.8157899999999998</c:v>
                </c:pt>
                <c:pt idx="46">
                  <c:v>-7.4659199999999997</c:v>
                </c:pt>
                <c:pt idx="47">
                  <c:v>-7.1180899999999996</c:v>
                </c:pt>
                <c:pt idx="48">
                  <c:v>-6.7723599999999999</c:v>
                </c:pt>
                <c:pt idx="49">
                  <c:v>-6.4287999999999998</c:v>
                </c:pt>
                <c:pt idx="50">
                  <c:v>-6.0874899999999998</c:v>
                </c:pt>
                <c:pt idx="51">
                  <c:v>-5.7484999999999999</c:v>
                </c:pt>
                <c:pt idx="52">
                  <c:v>-5.4119099999999998</c:v>
                </c:pt>
                <c:pt idx="53">
                  <c:v>-5.0777799999999997</c:v>
                </c:pt>
                <c:pt idx="54">
                  <c:v>-4.7462</c:v>
                </c:pt>
                <c:pt idx="55">
                  <c:v>-4.4172399999999996</c:v>
                </c:pt>
                <c:pt idx="56">
                  <c:v>-4.0909800000000001</c:v>
                </c:pt>
                <c:pt idx="57">
                  <c:v>-3.76749</c:v>
                </c:pt>
                <c:pt idx="58">
                  <c:v>-3.44685</c:v>
                </c:pt>
                <c:pt idx="59">
                  <c:v>-3.1291500000000001</c:v>
                </c:pt>
                <c:pt idx="60">
                  <c:v>-2.8144499999999999</c:v>
                </c:pt>
                <c:pt idx="61">
                  <c:v>-2.50285</c:v>
                </c:pt>
                <c:pt idx="62">
                  <c:v>-2.19441</c:v>
                </c:pt>
                <c:pt idx="63">
                  <c:v>-1.8892100000000001</c:v>
                </c:pt>
                <c:pt idx="64">
                  <c:v>-1.58734</c:v>
                </c:pt>
                <c:pt idx="65">
                  <c:v>-1.2888599999999999</c:v>
                </c:pt>
                <c:pt idx="66">
                  <c:v>-0.99385299999999999</c:v>
                </c:pt>
                <c:pt idx="67">
                  <c:v>-0.70239600000000002</c:v>
                </c:pt>
                <c:pt idx="68">
                  <c:v>-0.41455900000000001</c:v>
                </c:pt>
                <c:pt idx="69">
                  <c:v>-0.130414</c:v>
                </c:pt>
                <c:pt idx="70">
                  <c:v>0.14996899999999999</c:v>
                </c:pt>
                <c:pt idx="71">
                  <c:v>0.42652400000000001</c:v>
                </c:pt>
                <c:pt idx="72">
                  <c:v>0.699183</c:v>
                </c:pt>
                <c:pt idx="73">
                  <c:v>0.96788399999999997</c:v>
                </c:pt>
                <c:pt idx="74">
                  <c:v>1.2325699999999999</c:v>
                </c:pt>
                <c:pt idx="75">
                  <c:v>1.4931700000000001</c:v>
                </c:pt>
                <c:pt idx="76">
                  <c:v>1.7496400000000001</c:v>
                </c:pt>
                <c:pt idx="77">
                  <c:v>2.0019300000000002</c:v>
                </c:pt>
                <c:pt idx="78">
                  <c:v>2.2499799999999999</c:v>
                </c:pt>
                <c:pt idx="79">
                  <c:v>2.49376</c:v>
                </c:pt>
                <c:pt idx="80">
                  <c:v>2.7332200000000002</c:v>
                </c:pt>
                <c:pt idx="81">
                  <c:v>2.9683199999999998</c:v>
                </c:pt>
                <c:pt idx="82">
                  <c:v>3.19902</c:v>
                </c:pt>
                <c:pt idx="83">
                  <c:v>3.4253100000000001</c:v>
                </c:pt>
                <c:pt idx="84">
                  <c:v>3.6471499999999999</c:v>
                </c:pt>
                <c:pt idx="85">
                  <c:v>3.8645100000000001</c:v>
                </c:pt>
                <c:pt idx="86">
                  <c:v>4.0773999999999999</c:v>
                </c:pt>
                <c:pt idx="87">
                  <c:v>4.2857799999999999</c:v>
                </c:pt>
                <c:pt idx="88">
                  <c:v>4.4896599999999998</c:v>
                </c:pt>
                <c:pt idx="89">
                  <c:v>4.6890200000000002</c:v>
                </c:pt>
                <c:pt idx="90">
                  <c:v>4.8838800000000004</c:v>
                </c:pt>
                <c:pt idx="91">
                  <c:v>5.07423</c:v>
                </c:pt>
                <c:pt idx="92">
                  <c:v>5.2600899999999999</c:v>
                </c:pt>
                <c:pt idx="93">
                  <c:v>5.4414600000000002</c:v>
                </c:pt>
                <c:pt idx="94">
                  <c:v>5.6183699999999996</c:v>
                </c:pt>
                <c:pt idx="95">
                  <c:v>5.7908400000000002</c:v>
                </c:pt>
                <c:pt idx="96">
                  <c:v>5.9588999999999999</c:v>
                </c:pt>
                <c:pt idx="97">
                  <c:v>6.1225699999999996</c:v>
                </c:pt>
                <c:pt idx="98">
                  <c:v>6.2818899999999998</c:v>
                </c:pt>
                <c:pt idx="99">
                  <c:v>6.4369100000000001</c:v>
                </c:pt>
                <c:pt idx="100">
                  <c:v>6.5876599999999996</c:v>
                </c:pt>
                <c:pt idx="101">
                  <c:v>6.7341899999999999</c:v>
                </c:pt>
                <c:pt idx="102">
                  <c:v>6.8765599999999996</c:v>
                </c:pt>
                <c:pt idx="103">
                  <c:v>7.0148000000000001</c:v>
                </c:pt>
                <c:pt idx="104">
                  <c:v>7.1489799999999999</c:v>
                </c:pt>
                <c:pt idx="105">
                  <c:v>7.2791600000000001</c:v>
                </c:pt>
                <c:pt idx="106">
                  <c:v>7.4054000000000002</c:v>
                </c:pt>
                <c:pt idx="107">
                  <c:v>7.5277700000000003</c:v>
                </c:pt>
                <c:pt idx="108">
                  <c:v>7.6463200000000002</c:v>
                </c:pt>
                <c:pt idx="109">
                  <c:v>7.7611299999999996</c:v>
                </c:pt>
                <c:pt idx="110">
                  <c:v>7.8722700000000003</c:v>
                </c:pt>
                <c:pt idx="111">
                  <c:v>7.9798099999999996</c:v>
                </c:pt>
                <c:pt idx="112">
                  <c:v>8.0838199999999993</c:v>
                </c:pt>
                <c:pt idx="113">
                  <c:v>8.1843800000000009</c:v>
                </c:pt>
                <c:pt idx="114">
                  <c:v>8.2815600000000007</c:v>
                </c:pt>
                <c:pt idx="115">
                  <c:v>8.3754500000000007</c:v>
                </c:pt>
                <c:pt idx="116">
                  <c:v>8.4661100000000005</c:v>
                </c:pt>
                <c:pt idx="117">
                  <c:v>8.5536300000000001</c:v>
                </c:pt>
                <c:pt idx="118">
                  <c:v>8.6380800000000004</c:v>
                </c:pt>
                <c:pt idx="119">
                  <c:v>8.7195400000000003</c:v>
                </c:pt>
                <c:pt idx="120">
                  <c:v>8.7980999999999998</c:v>
                </c:pt>
                <c:pt idx="121">
                  <c:v>8.8738200000000003</c:v>
                </c:pt>
                <c:pt idx="122">
                  <c:v>8.94679</c:v>
                </c:pt>
                <c:pt idx="123">
                  <c:v>9.01708</c:v>
                </c:pt>
                <c:pt idx="124">
                  <c:v>9.0847800000000003</c:v>
                </c:pt>
                <c:pt idx="125">
                  <c:v>9.1499500000000005</c:v>
                </c:pt>
                <c:pt idx="126">
                  <c:v>9.2126800000000006</c:v>
                </c:pt>
                <c:pt idx="127">
                  <c:v>9.2730300000000003</c:v>
                </c:pt>
                <c:pt idx="128">
                  <c:v>9.33108</c:v>
                </c:pt>
                <c:pt idx="129">
                  <c:v>9.3869100000000003</c:v>
                </c:pt>
                <c:pt idx="130">
                  <c:v>9.4405800000000006</c:v>
                </c:pt>
                <c:pt idx="131">
                  <c:v>9.4921600000000002</c:v>
                </c:pt>
                <c:pt idx="132">
                  <c:v>9.5417299999999994</c:v>
                </c:pt>
                <c:pt idx="133">
                  <c:v>9.5893499999999996</c:v>
                </c:pt>
                <c:pt idx="134">
                  <c:v>9.6350899999999999</c:v>
                </c:pt>
                <c:pt idx="135">
                  <c:v>9.6790099999999999</c:v>
                </c:pt>
                <c:pt idx="136">
                  <c:v>9.7211700000000008</c:v>
                </c:pt>
                <c:pt idx="137">
                  <c:v>9.7616399999999999</c:v>
                </c:pt>
                <c:pt idx="138">
                  <c:v>9.8004700000000007</c:v>
                </c:pt>
                <c:pt idx="139">
                  <c:v>9.8377400000000002</c:v>
                </c:pt>
                <c:pt idx="140">
                  <c:v>9.8734800000000007</c:v>
                </c:pt>
                <c:pt idx="141">
                  <c:v>9.9077599999999997</c:v>
                </c:pt>
                <c:pt idx="142">
                  <c:v>9.9406400000000001</c:v>
                </c:pt>
                <c:pt idx="143">
                  <c:v>9.9721600000000006</c:v>
                </c:pt>
                <c:pt idx="144">
                  <c:v>10.0024</c:v>
                </c:pt>
                <c:pt idx="145">
                  <c:v>10.0313</c:v>
                </c:pt>
                <c:pt idx="146">
                  <c:v>10.059100000000001</c:v>
                </c:pt>
                <c:pt idx="147">
                  <c:v>10.085699999999999</c:v>
                </c:pt>
                <c:pt idx="148">
                  <c:v>10.1112</c:v>
                </c:pt>
                <c:pt idx="149">
                  <c:v>10.1356</c:v>
                </c:pt>
                <c:pt idx="150">
                  <c:v>10.158899999999999</c:v>
                </c:pt>
                <c:pt idx="151">
                  <c:v>10.1813</c:v>
                </c:pt>
                <c:pt idx="152">
                  <c:v>10.2028</c:v>
                </c:pt>
                <c:pt idx="153">
                  <c:v>10.2233</c:v>
                </c:pt>
                <c:pt idx="154">
                  <c:v>10.242900000000001</c:v>
                </c:pt>
                <c:pt idx="155">
                  <c:v>10.261799999999999</c:v>
                </c:pt>
                <c:pt idx="156">
                  <c:v>10.2798</c:v>
                </c:pt>
                <c:pt idx="157">
                  <c:v>10.297000000000001</c:v>
                </c:pt>
                <c:pt idx="158">
                  <c:v>10.313499999999999</c:v>
                </c:pt>
                <c:pt idx="159">
                  <c:v>10.3293</c:v>
                </c:pt>
                <c:pt idx="160">
                  <c:v>10.3444</c:v>
                </c:pt>
                <c:pt idx="161">
                  <c:v>10.3588</c:v>
                </c:pt>
                <c:pt idx="162">
                  <c:v>10.3726</c:v>
                </c:pt>
                <c:pt idx="163">
                  <c:v>10.3858</c:v>
                </c:pt>
                <c:pt idx="164">
                  <c:v>10.3985</c:v>
                </c:pt>
                <c:pt idx="165">
                  <c:v>10.410600000000001</c:v>
                </c:pt>
                <c:pt idx="166">
                  <c:v>10.4221</c:v>
                </c:pt>
                <c:pt idx="167">
                  <c:v>10.433199999999999</c:v>
                </c:pt>
                <c:pt idx="168">
                  <c:v>10.4438</c:v>
                </c:pt>
                <c:pt idx="169">
                  <c:v>10.453900000000001</c:v>
                </c:pt>
                <c:pt idx="170">
                  <c:v>10.4636</c:v>
                </c:pt>
                <c:pt idx="171">
                  <c:v>10.472799999999999</c:v>
                </c:pt>
                <c:pt idx="172">
                  <c:v>10.4817</c:v>
                </c:pt>
                <c:pt idx="173">
                  <c:v>10.4901</c:v>
                </c:pt>
                <c:pt idx="174">
                  <c:v>10.498200000000001</c:v>
                </c:pt>
                <c:pt idx="175">
                  <c:v>10.5059</c:v>
                </c:pt>
                <c:pt idx="176">
                  <c:v>10.513299999999999</c:v>
                </c:pt>
                <c:pt idx="177">
                  <c:v>10.520300000000001</c:v>
                </c:pt>
                <c:pt idx="178">
                  <c:v>10.527100000000001</c:v>
                </c:pt>
                <c:pt idx="179">
                  <c:v>10.5335</c:v>
                </c:pt>
                <c:pt idx="180">
                  <c:v>10.5397</c:v>
                </c:pt>
                <c:pt idx="181">
                  <c:v>10.5456</c:v>
                </c:pt>
                <c:pt idx="182">
                  <c:v>10.5512</c:v>
                </c:pt>
                <c:pt idx="183">
                  <c:v>10.5566</c:v>
                </c:pt>
                <c:pt idx="184">
                  <c:v>10.5617</c:v>
                </c:pt>
                <c:pt idx="185">
                  <c:v>10.566599999999999</c:v>
                </c:pt>
                <c:pt idx="186">
                  <c:v>10.571300000000001</c:v>
                </c:pt>
                <c:pt idx="187">
                  <c:v>10.575799999999999</c:v>
                </c:pt>
                <c:pt idx="188">
                  <c:v>10.5801</c:v>
                </c:pt>
                <c:pt idx="189">
                  <c:v>10.584199999999999</c:v>
                </c:pt>
                <c:pt idx="190">
                  <c:v>10.588100000000001</c:v>
                </c:pt>
                <c:pt idx="191">
                  <c:v>10.591799999999999</c:v>
                </c:pt>
                <c:pt idx="192">
                  <c:v>10.5954</c:v>
                </c:pt>
                <c:pt idx="193">
                  <c:v>10.598800000000001</c:v>
                </c:pt>
                <c:pt idx="194">
                  <c:v>10.6021</c:v>
                </c:pt>
                <c:pt idx="195">
                  <c:v>10.6052</c:v>
                </c:pt>
                <c:pt idx="196">
                  <c:v>10.6081</c:v>
                </c:pt>
                <c:pt idx="197">
                  <c:v>10.611000000000001</c:v>
                </c:pt>
                <c:pt idx="198">
                  <c:v>10.6137</c:v>
                </c:pt>
                <c:pt idx="199">
                  <c:v>10.616300000000001</c:v>
                </c:pt>
                <c:pt idx="200">
                  <c:v>10.6188</c:v>
                </c:pt>
                <c:pt idx="201">
                  <c:v>10.6211</c:v>
                </c:pt>
                <c:pt idx="202">
                  <c:v>10.6234</c:v>
                </c:pt>
                <c:pt idx="203">
                  <c:v>10.625500000000001</c:v>
                </c:pt>
                <c:pt idx="204">
                  <c:v>10.627599999999999</c:v>
                </c:pt>
                <c:pt idx="205">
                  <c:v>10.6296</c:v>
                </c:pt>
                <c:pt idx="206">
                  <c:v>10.631399999999999</c:v>
                </c:pt>
                <c:pt idx="207">
                  <c:v>10.6332</c:v>
                </c:pt>
                <c:pt idx="208">
                  <c:v>10.635</c:v>
                </c:pt>
                <c:pt idx="209">
                  <c:v>10.6366</c:v>
                </c:pt>
                <c:pt idx="210">
                  <c:v>10.638199999999999</c:v>
                </c:pt>
                <c:pt idx="211">
                  <c:v>10.6396</c:v>
                </c:pt>
                <c:pt idx="212">
                  <c:v>10.6411</c:v>
                </c:pt>
                <c:pt idx="213">
                  <c:v>10.6424</c:v>
                </c:pt>
                <c:pt idx="214">
                  <c:v>10.643700000000001</c:v>
                </c:pt>
                <c:pt idx="215">
                  <c:v>10.645</c:v>
                </c:pt>
                <c:pt idx="216">
                  <c:v>10.6462</c:v>
                </c:pt>
                <c:pt idx="217">
                  <c:v>10.6473</c:v>
                </c:pt>
                <c:pt idx="218">
                  <c:v>10.648400000000001</c:v>
                </c:pt>
                <c:pt idx="219">
                  <c:v>10.6494</c:v>
                </c:pt>
                <c:pt idx="220">
                  <c:v>10.650399999999999</c:v>
                </c:pt>
                <c:pt idx="221">
                  <c:v>10.651300000000001</c:v>
                </c:pt>
                <c:pt idx="222">
                  <c:v>10.652200000000001</c:v>
                </c:pt>
                <c:pt idx="223">
                  <c:v>10.6531</c:v>
                </c:pt>
                <c:pt idx="224">
                  <c:v>10.6539</c:v>
                </c:pt>
                <c:pt idx="225">
                  <c:v>10.6547</c:v>
                </c:pt>
                <c:pt idx="226">
                  <c:v>10.6554</c:v>
                </c:pt>
                <c:pt idx="227">
                  <c:v>10.6561</c:v>
                </c:pt>
                <c:pt idx="228">
                  <c:v>10.6568</c:v>
                </c:pt>
                <c:pt idx="229">
                  <c:v>10.657400000000001</c:v>
                </c:pt>
                <c:pt idx="230">
                  <c:v>10.658099999999999</c:v>
                </c:pt>
                <c:pt idx="231">
                  <c:v>10.6586</c:v>
                </c:pt>
                <c:pt idx="232">
                  <c:v>10.6592</c:v>
                </c:pt>
                <c:pt idx="233">
                  <c:v>10.659700000000001</c:v>
                </c:pt>
                <c:pt idx="234">
                  <c:v>10.6602</c:v>
                </c:pt>
                <c:pt idx="235">
                  <c:v>10.6607</c:v>
                </c:pt>
                <c:pt idx="236">
                  <c:v>10.661199999999999</c:v>
                </c:pt>
                <c:pt idx="237">
                  <c:v>10.6616</c:v>
                </c:pt>
                <c:pt idx="238">
                  <c:v>10.662100000000001</c:v>
                </c:pt>
                <c:pt idx="239">
                  <c:v>10.6625</c:v>
                </c:pt>
                <c:pt idx="240">
                  <c:v>10.662800000000001</c:v>
                </c:pt>
                <c:pt idx="241">
                  <c:v>10.6632</c:v>
                </c:pt>
                <c:pt idx="242">
                  <c:v>10.663500000000001</c:v>
                </c:pt>
                <c:pt idx="243">
                  <c:v>10.6639</c:v>
                </c:pt>
                <c:pt idx="244">
                  <c:v>10.664199999999999</c:v>
                </c:pt>
                <c:pt idx="245">
                  <c:v>10.6645</c:v>
                </c:pt>
                <c:pt idx="246">
                  <c:v>10.6647</c:v>
                </c:pt>
                <c:pt idx="247">
                  <c:v>10.664999999999999</c:v>
                </c:pt>
                <c:pt idx="248">
                  <c:v>10.6653</c:v>
                </c:pt>
                <c:pt idx="249">
                  <c:v>10.6655</c:v>
                </c:pt>
                <c:pt idx="250">
                  <c:v>10.665699999999999</c:v>
                </c:pt>
                <c:pt idx="251">
                  <c:v>10.665900000000001</c:v>
                </c:pt>
                <c:pt idx="252">
                  <c:v>10.6661</c:v>
                </c:pt>
                <c:pt idx="253">
                  <c:v>10.6663</c:v>
                </c:pt>
                <c:pt idx="254">
                  <c:v>10.666499999999999</c:v>
                </c:pt>
                <c:pt idx="255">
                  <c:v>10.666700000000001</c:v>
                </c:pt>
                <c:pt idx="256">
                  <c:v>10.6668</c:v>
                </c:pt>
                <c:pt idx="257">
                  <c:v>10.667</c:v>
                </c:pt>
                <c:pt idx="258">
                  <c:v>10.6671</c:v>
                </c:pt>
                <c:pt idx="259">
                  <c:v>10.667199999999999</c:v>
                </c:pt>
                <c:pt idx="260">
                  <c:v>10.667299999999999</c:v>
                </c:pt>
                <c:pt idx="261">
                  <c:v>10.667400000000001</c:v>
                </c:pt>
                <c:pt idx="262">
                  <c:v>10.6675</c:v>
                </c:pt>
                <c:pt idx="263">
                  <c:v>10.6676</c:v>
                </c:pt>
                <c:pt idx="264">
                  <c:v>10.6677</c:v>
                </c:pt>
                <c:pt idx="265">
                  <c:v>10.6678</c:v>
                </c:pt>
                <c:pt idx="266">
                  <c:v>10.667899999999999</c:v>
                </c:pt>
                <c:pt idx="267">
                  <c:v>10.667899999999999</c:v>
                </c:pt>
                <c:pt idx="268">
                  <c:v>10.667999999999999</c:v>
                </c:pt>
                <c:pt idx="269">
                  <c:v>10.667999999999999</c:v>
                </c:pt>
                <c:pt idx="270">
                  <c:v>10.667999999999999</c:v>
                </c:pt>
                <c:pt idx="271">
                  <c:v>10.668100000000001</c:v>
                </c:pt>
                <c:pt idx="272">
                  <c:v>10.668100000000001</c:v>
                </c:pt>
                <c:pt idx="273">
                  <c:v>10.668100000000001</c:v>
                </c:pt>
                <c:pt idx="274">
                  <c:v>10.668100000000001</c:v>
                </c:pt>
                <c:pt idx="275">
                  <c:v>10.668100000000001</c:v>
                </c:pt>
                <c:pt idx="276">
                  <c:v>10.668100000000001</c:v>
                </c:pt>
                <c:pt idx="277">
                  <c:v>10.668100000000001</c:v>
                </c:pt>
                <c:pt idx="278">
                  <c:v>10.668100000000001</c:v>
                </c:pt>
                <c:pt idx="279">
                  <c:v>10.667999999999999</c:v>
                </c:pt>
                <c:pt idx="280">
                  <c:v>10.667999999999999</c:v>
                </c:pt>
                <c:pt idx="281">
                  <c:v>10.667899999999999</c:v>
                </c:pt>
                <c:pt idx="282">
                  <c:v>10.667899999999999</c:v>
                </c:pt>
                <c:pt idx="283">
                  <c:v>10.6678</c:v>
                </c:pt>
                <c:pt idx="284">
                  <c:v>10.6678</c:v>
                </c:pt>
                <c:pt idx="285">
                  <c:v>10.6677</c:v>
                </c:pt>
                <c:pt idx="286">
                  <c:v>10.6676</c:v>
                </c:pt>
                <c:pt idx="287">
                  <c:v>10.6675</c:v>
                </c:pt>
                <c:pt idx="288">
                  <c:v>10.667400000000001</c:v>
                </c:pt>
                <c:pt idx="289">
                  <c:v>10.667299999999999</c:v>
                </c:pt>
                <c:pt idx="290">
                  <c:v>10.667199999999999</c:v>
                </c:pt>
                <c:pt idx="291">
                  <c:v>10.667</c:v>
                </c:pt>
                <c:pt idx="292">
                  <c:v>10.6669</c:v>
                </c:pt>
                <c:pt idx="293">
                  <c:v>10.6668</c:v>
                </c:pt>
                <c:pt idx="294">
                  <c:v>10.666600000000001</c:v>
                </c:pt>
                <c:pt idx="295">
                  <c:v>10.666399999999999</c:v>
                </c:pt>
                <c:pt idx="296">
                  <c:v>10.6662</c:v>
                </c:pt>
                <c:pt idx="297">
                  <c:v>10.6661</c:v>
                </c:pt>
                <c:pt idx="298">
                  <c:v>10.665800000000001</c:v>
                </c:pt>
                <c:pt idx="299">
                  <c:v>10.6656</c:v>
                </c:pt>
                <c:pt idx="300">
                  <c:v>10.6654</c:v>
                </c:pt>
                <c:pt idx="301">
                  <c:v>10.6652</c:v>
                </c:pt>
                <c:pt idx="302">
                  <c:v>10.664899999999999</c:v>
                </c:pt>
                <c:pt idx="303">
                  <c:v>10.6646</c:v>
                </c:pt>
                <c:pt idx="304">
                  <c:v>10.664400000000001</c:v>
                </c:pt>
                <c:pt idx="305">
                  <c:v>10.664099999999999</c:v>
                </c:pt>
                <c:pt idx="306">
                  <c:v>10.6637</c:v>
                </c:pt>
                <c:pt idx="307">
                  <c:v>10.663399999999999</c:v>
                </c:pt>
                <c:pt idx="308">
                  <c:v>10.6631</c:v>
                </c:pt>
                <c:pt idx="309">
                  <c:v>10.662699999999999</c:v>
                </c:pt>
                <c:pt idx="310">
                  <c:v>10.6623</c:v>
                </c:pt>
                <c:pt idx="311">
                  <c:v>10.661899999999999</c:v>
                </c:pt>
                <c:pt idx="312">
                  <c:v>10.6615</c:v>
                </c:pt>
                <c:pt idx="313">
                  <c:v>10.661</c:v>
                </c:pt>
                <c:pt idx="314">
                  <c:v>10.660600000000001</c:v>
                </c:pt>
                <c:pt idx="315">
                  <c:v>10.6601</c:v>
                </c:pt>
                <c:pt idx="316">
                  <c:v>10.659599999999999</c:v>
                </c:pt>
                <c:pt idx="317">
                  <c:v>10.659000000000001</c:v>
                </c:pt>
                <c:pt idx="318">
                  <c:v>10.6584</c:v>
                </c:pt>
                <c:pt idx="319">
                  <c:v>10.6578</c:v>
                </c:pt>
                <c:pt idx="320">
                  <c:v>10.6572</c:v>
                </c:pt>
                <c:pt idx="321">
                  <c:v>10.656599999999999</c:v>
                </c:pt>
                <c:pt idx="322">
                  <c:v>10.655900000000001</c:v>
                </c:pt>
                <c:pt idx="323">
                  <c:v>10.655200000000001</c:v>
                </c:pt>
                <c:pt idx="324">
                  <c:v>10.654400000000001</c:v>
                </c:pt>
                <c:pt idx="325">
                  <c:v>10.653600000000001</c:v>
                </c:pt>
                <c:pt idx="326">
                  <c:v>10.652799999999999</c:v>
                </c:pt>
                <c:pt idx="327">
                  <c:v>10.651899999999999</c:v>
                </c:pt>
                <c:pt idx="328">
                  <c:v>10.651</c:v>
                </c:pt>
                <c:pt idx="329">
                  <c:v>10.65</c:v>
                </c:pt>
                <c:pt idx="330">
                  <c:v>10.648999999999999</c:v>
                </c:pt>
                <c:pt idx="331">
                  <c:v>10.648</c:v>
                </c:pt>
                <c:pt idx="332">
                  <c:v>10.6469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10.6433</c:v>
                </c:pt>
                <c:pt idx="336">
                  <c:v>10.641999999999999</c:v>
                </c:pt>
                <c:pt idx="337">
                  <c:v>10.640599999999999</c:v>
                </c:pt>
                <c:pt idx="338">
                  <c:v>10.639200000000001</c:v>
                </c:pt>
                <c:pt idx="339">
                  <c:v>10.637600000000001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10.630800000000001</c:v>
                </c:pt>
                <c:pt idx="344">
                  <c:v>10.6289</c:v>
                </c:pt>
                <c:pt idx="345">
                  <c:v>10.626899999999999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10.610099999999999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10.597799999999999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10.5746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9.9853900000000007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9.7114700000000003</c:v>
                </c:pt>
                <c:pt idx="415">
                  <c:v>9.6710600000000007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9.4939599999999995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9.0571800000000007</c:v>
                </c:pt>
                <c:pt idx="428">
                  <c:v>8.9940899999999999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8.1613100000000003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7.0566199999999997</c:v>
                </c:pt>
                <c:pt idx="451">
                  <c:v>6.9424599999999996</c:v>
                </c:pt>
                <c:pt idx="452">
                  <c:v>6.8260399999999999</c:v>
                </c:pt>
                <c:pt idx="453">
                  <c:v>6.7073900000000002</c:v>
                </c:pt>
                <c:pt idx="454">
                  <c:v>6.5865200000000002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0.67055500000000001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16-498A-9274-FF69B7EA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5952"/>
        <c:axId val="1687856432"/>
      </c:scatterChart>
      <c:valAx>
        <c:axId val="16878559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2437693422650524"/>
              <c:y val="0.8590436159411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6432"/>
        <c:crosses val="autoZero"/>
        <c:crossBetween val="midCat"/>
      </c:valAx>
      <c:valAx>
        <c:axId val="168785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layout>
            <c:manualLayout>
              <c:xMode val="edge"/>
              <c:yMode val="edge"/>
              <c:x val="1.4925373134328358E-2"/>
              <c:y val="0.36768543697592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5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886003055588207E-2"/>
          <c:y val="0.10131650135256989"/>
          <c:w val="0.86115877306381483"/>
          <c:h val="0.68307489470792893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'Combined Sim + PCB'!$B$1</c:f>
              <c:strCache>
                <c:ptCount val="1"/>
                <c:pt idx="0">
                  <c:v>Stage 1 Simulation (TL071)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PCB'!$B$2:$B$502</c:f>
              <c:numCache>
                <c:formatCode>General</c:formatCode>
                <c:ptCount val="501"/>
                <c:pt idx="0">
                  <c:v>-5.8582400000000003</c:v>
                </c:pt>
                <c:pt idx="1">
                  <c:v>-5.6627900000000002</c:v>
                </c:pt>
                <c:pt idx="2">
                  <c:v>-5.4675500000000001</c:v>
                </c:pt>
                <c:pt idx="3">
                  <c:v>-5.2725299999999997</c:v>
                </c:pt>
                <c:pt idx="4">
                  <c:v>-5.0777400000000004</c:v>
                </c:pt>
                <c:pt idx="5">
                  <c:v>-4.8831899999999999</c:v>
                </c:pt>
                <c:pt idx="6">
                  <c:v>-4.6888899999999998</c:v>
                </c:pt>
                <c:pt idx="7">
                  <c:v>-4.4948499999999996</c:v>
                </c:pt>
                <c:pt idx="8">
                  <c:v>-4.3010700000000002</c:v>
                </c:pt>
                <c:pt idx="9">
                  <c:v>-4.1075900000000001</c:v>
                </c:pt>
                <c:pt idx="10">
                  <c:v>-3.9144000000000001</c:v>
                </c:pt>
                <c:pt idx="11">
                  <c:v>-3.7215199999999999</c:v>
                </c:pt>
                <c:pt idx="12">
                  <c:v>-3.5289600000000001</c:v>
                </c:pt>
                <c:pt idx="13">
                  <c:v>-3.3367399999999998</c:v>
                </c:pt>
                <c:pt idx="14">
                  <c:v>-3.1448700000000001</c:v>
                </c:pt>
                <c:pt idx="15">
                  <c:v>-2.9533700000000001</c:v>
                </c:pt>
                <c:pt idx="16">
                  <c:v>-2.7622499999999999</c:v>
                </c:pt>
                <c:pt idx="17">
                  <c:v>-2.5715300000000001</c:v>
                </c:pt>
                <c:pt idx="18">
                  <c:v>-2.3812199999999999</c:v>
                </c:pt>
                <c:pt idx="19">
                  <c:v>-2.1913499999999999</c:v>
                </c:pt>
                <c:pt idx="20">
                  <c:v>-2.0019300000000002</c:v>
                </c:pt>
                <c:pt idx="21">
                  <c:v>-1.8129900000000001</c:v>
                </c:pt>
                <c:pt idx="22">
                  <c:v>-1.62453</c:v>
                </c:pt>
                <c:pt idx="23">
                  <c:v>-1.43658</c:v>
                </c:pt>
                <c:pt idx="24">
                  <c:v>-1.2491699999999999</c:v>
                </c:pt>
                <c:pt idx="25">
                  <c:v>-1.0623100000000001</c:v>
                </c:pt>
                <c:pt idx="26">
                  <c:v>-0.87602999999999998</c:v>
                </c:pt>
                <c:pt idx="27">
                  <c:v>-0.69034799999999996</c:v>
                </c:pt>
                <c:pt idx="28">
                  <c:v>-0.50529000000000002</c:v>
                </c:pt>
                <c:pt idx="29">
                  <c:v>-0.32088100000000003</c:v>
                </c:pt>
                <c:pt idx="30">
                  <c:v>-0.13714799999999999</c:v>
                </c:pt>
                <c:pt idx="31">
                  <c:v>4.58847E-2</c:v>
                </c:pt>
                <c:pt idx="32">
                  <c:v>0.228188</c:v>
                </c:pt>
                <c:pt idx="33">
                  <c:v>0.40973500000000002</c:v>
                </c:pt>
                <c:pt idx="34">
                  <c:v>0.59049499999999999</c:v>
                </c:pt>
                <c:pt idx="35">
                  <c:v>0.77044000000000001</c:v>
                </c:pt>
                <c:pt idx="36">
                  <c:v>0.94953900000000002</c:v>
                </c:pt>
                <c:pt idx="37">
                  <c:v>1.1277600000000001</c:v>
                </c:pt>
                <c:pt idx="38">
                  <c:v>1.30507</c:v>
                </c:pt>
                <c:pt idx="39">
                  <c:v>1.4814400000000001</c:v>
                </c:pt>
                <c:pt idx="40">
                  <c:v>1.65683</c:v>
                </c:pt>
                <c:pt idx="41">
                  <c:v>1.83121</c:v>
                </c:pt>
                <c:pt idx="42">
                  <c:v>2.0045500000000001</c:v>
                </c:pt>
                <c:pt idx="43">
                  <c:v>2.1768000000000001</c:v>
                </c:pt>
                <c:pt idx="44">
                  <c:v>2.3479299999999999</c:v>
                </c:pt>
                <c:pt idx="45">
                  <c:v>2.5179100000000001</c:v>
                </c:pt>
                <c:pt idx="46">
                  <c:v>2.68669</c:v>
                </c:pt>
                <c:pt idx="47">
                  <c:v>2.85425</c:v>
                </c:pt>
                <c:pt idx="48">
                  <c:v>3.0205299999999999</c:v>
                </c:pt>
                <c:pt idx="49">
                  <c:v>3.1855000000000002</c:v>
                </c:pt>
                <c:pt idx="50">
                  <c:v>3.34911</c:v>
                </c:pt>
                <c:pt idx="51">
                  <c:v>3.5113400000000001</c:v>
                </c:pt>
                <c:pt idx="52">
                  <c:v>3.6721400000000002</c:v>
                </c:pt>
                <c:pt idx="53">
                  <c:v>3.8314699999999999</c:v>
                </c:pt>
                <c:pt idx="54">
                  <c:v>3.9892799999999999</c:v>
                </c:pt>
                <c:pt idx="55">
                  <c:v>4.1455399999999996</c:v>
                </c:pt>
                <c:pt idx="56">
                  <c:v>4.3002099999999999</c:v>
                </c:pt>
                <c:pt idx="57">
                  <c:v>4.4532400000000001</c:v>
                </c:pt>
                <c:pt idx="58">
                  <c:v>4.6045999999999996</c:v>
                </c:pt>
                <c:pt idx="59">
                  <c:v>4.7542499999999999</c:v>
                </c:pt>
                <c:pt idx="60">
                  <c:v>4.9021299999999997</c:v>
                </c:pt>
                <c:pt idx="61">
                  <c:v>5.0482300000000002</c:v>
                </c:pt>
                <c:pt idx="62">
                  <c:v>5.1924900000000003</c:v>
                </c:pt>
                <c:pt idx="63">
                  <c:v>5.3348899999999997</c:v>
                </c:pt>
                <c:pt idx="64">
                  <c:v>5.4753699999999998</c:v>
                </c:pt>
                <c:pt idx="65">
                  <c:v>5.6139200000000002</c:v>
                </c:pt>
                <c:pt idx="66">
                  <c:v>5.7504900000000001</c:v>
                </c:pt>
                <c:pt idx="67">
                  <c:v>5.88504</c:v>
                </c:pt>
                <c:pt idx="68">
                  <c:v>6.0175599999999996</c:v>
                </c:pt>
                <c:pt idx="69">
                  <c:v>6.1479999999999997</c:v>
                </c:pt>
                <c:pt idx="70">
                  <c:v>6.2763400000000003</c:v>
                </c:pt>
                <c:pt idx="71">
                  <c:v>6.4025400000000001</c:v>
                </c:pt>
                <c:pt idx="72">
                  <c:v>6.5266000000000002</c:v>
                </c:pt>
                <c:pt idx="73">
                  <c:v>6.6484699999999997</c:v>
                </c:pt>
                <c:pt idx="74">
                  <c:v>6.7681300000000002</c:v>
                </c:pt>
                <c:pt idx="75">
                  <c:v>6.88558</c:v>
                </c:pt>
                <c:pt idx="76">
                  <c:v>7.0007900000000003</c:v>
                </c:pt>
                <c:pt idx="77">
                  <c:v>7.11374</c:v>
                </c:pt>
                <c:pt idx="78">
                  <c:v>7.2244200000000003</c:v>
                </c:pt>
                <c:pt idx="79">
                  <c:v>7.3328199999999999</c:v>
                </c:pt>
                <c:pt idx="80">
                  <c:v>7.43893</c:v>
                </c:pt>
                <c:pt idx="81">
                  <c:v>7.5427400000000002</c:v>
                </c:pt>
                <c:pt idx="82">
                  <c:v>7.6442600000000001</c:v>
                </c:pt>
                <c:pt idx="83">
                  <c:v>7.7434700000000003</c:v>
                </c:pt>
                <c:pt idx="84">
                  <c:v>7.8403799999999997</c:v>
                </c:pt>
                <c:pt idx="85">
                  <c:v>7.9349999999999996</c:v>
                </c:pt>
                <c:pt idx="86">
                  <c:v>8.0273199999999996</c:v>
                </c:pt>
                <c:pt idx="87">
                  <c:v>8.1173599999999997</c:v>
                </c:pt>
                <c:pt idx="88">
                  <c:v>8.2051300000000005</c:v>
                </c:pt>
                <c:pt idx="89">
                  <c:v>8.2906300000000002</c:v>
                </c:pt>
                <c:pt idx="90">
                  <c:v>8.3739000000000008</c:v>
                </c:pt>
                <c:pt idx="91">
                  <c:v>8.4549299999999992</c:v>
                </c:pt>
                <c:pt idx="92">
                  <c:v>8.5337499999999995</c:v>
                </c:pt>
                <c:pt idx="93">
                  <c:v>8.6103900000000007</c:v>
                </c:pt>
                <c:pt idx="94">
                  <c:v>8.6848600000000005</c:v>
                </c:pt>
                <c:pt idx="95">
                  <c:v>8.7571999999999992</c:v>
                </c:pt>
                <c:pt idx="96">
                  <c:v>8.82742</c:v>
                </c:pt>
                <c:pt idx="97">
                  <c:v>8.8955599999999997</c:v>
                </c:pt>
                <c:pt idx="98">
                  <c:v>8.9616500000000006</c:v>
                </c:pt>
                <c:pt idx="99">
                  <c:v>9.0257199999999997</c:v>
                </c:pt>
                <c:pt idx="100">
                  <c:v>9.0877999999999997</c:v>
                </c:pt>
                <c:pt idx="101">
                  <c:v>9.1479300000000006</c:v>
                </c:pt>
                <c:pt idx="102">
                  <c:v>9.2061399999999995</c:v>
                </c:pt>
                <c:pt idx="103">
                  <c:v>9.2624700000000004</c:v>
                </c:pt>
                <c:pt idx="104">
                  <c:v>9.3169500000000003</c:v>
                </c:pt>
                <c:pt idx="105">
                  <c:v>9.3696300000000008</c:v>
                </c:pt>
                <c:pt idx="106">
                  <c:v>9.4205400000000008</c:v>
                </c:pt>
                <c:pt idx="107">
                  <c:v>9.4697300000000002</c:v>
                </c:pt>
                <c:pt idx="108">
                  <c:v>9.5172299999999996</c:v>
                </c:pt>
                <c:pt idx="109">
                  <c:v>9.5630799999999994</c:v>
                </c:pt>
                <c:pt idx="110">
                  <c:v>9.6073299999999993</c:v>
                </c:pt>
                <c:pt idx="111">
                  <c:v>9.65001</c:v>
                </c:pt>
                <c:pt idx="112">
                  <c:v>9.69116</c:v>
                </c:pt>
                <c:pt idx="113">
                  <c:v>9.7308299999999992</c:v>
                </c:pt>
                <c:pt idx="114">
                  <c:v>9.7690599999999996</c:v>
                </c:pt>
                <c:pt idx="115">
                  <c:v>9.8058800000000002</c:v>
                </c:pt>
                <c:pt idx="116">
                  <c:v>9.8413400000000006</c:v>
                </c:pt>
                <c:pt idx="117">
                  <c:v>9.8754799999999996</c:v>
                </c:pt>
                <c:pt idx="118">
                  <c:v>9.9083400000000008</c:v>
                </c:pt>
                <c:pt idx="119">
                  <c:v>9.9399499999999996</c:v>
                </c:pt>
                <c:pt idx="120">
                  <c:v>9.9703499999999998</c:v>
                </c:pt>
                <c:pt idx="121">
                  <c:v>9.9995899999999995</c:v>
                </c:pt>
                <c:pt idx="122">
                  <c:v>10.027699999999999</c:v>
                </c:pt>
                <c:pt idx="123">
                  <c:v>10.0547</c:v>
                </c:pt>
                <c:pt idx="124">
                  <c:v>10.0807</c:v>
                </c:pt>
                <c:pt idx="125">
                  <c:v>10.105600000000001</c:v>
                </c:pt>
                <c:pt idx="126">
                  <c:v>10.1295</c:v>
                </c:pt>
                <c:pt idx="127">
                  <c:v>10.1525</c:v>
                </c:pt>
                <c:pt idx="128">
                  <c:v>10.1746</c:v>
                </c:pt>
                <c:pt idx="129">
                  <c:v>10.1958</c:v>
                </c:pt>
                <c:pt idx="130">
                  <c:v>10.216100000000001</c:v>
                </c:pt>
                <c:pt idx="131">
                  <c:v>10.2356</c:v>
                </c:pt>
                <c:pt idx="132">
                  <c:v>10.254300000000001</c:v>
                </c:pt>
                <c:pt idx="133">
                  <c:v>10.2723</c:v>
                </c:pt>
                <c:pt idx="134">
                  <c:v>10.2895</c:v>
                </c:pt>
                <c:pt idx="135">
                  <c:v>10.305899999999999</c:v>
                </c:pt>
                <c:pt idx="136">
                  <c:v>10.3218</c:v>
                </c:pt>
                <c:pt idx="137">
                  <c:v>10.3369</c:v>
                </c:pt>
                <c:pt idx="138">
                  <c:v>10.3514</c:v>
                </c:pt>
                <c:pt idx="139">
                  <c:v>10.3653</c:v>
                </c:pt>
                <c:pt idx="140">
                  <c:v>10.3787</c:v>
                </c:pt>
                <c:pt idx="141">
                  <c:v>10.391400000000001</c:v>
                </c:pt>
                <c:pt idx="142">
                  <c:v>10.403700000000001</c:v>
                </c:pt>
                <c:pt idx="143">
                  <c:v>10.4154</c:v>
                </c:pt>
                <c:pt idx="144">
                  <c:v>10.426600000000001</c:v>
                </c:pt>
                <c:pt idx="145">
                  <c:v>10.4373</c:v>
                </c:pt>
                <c:pt idx="146">
                  <c:v>10.4476</c:v>
                </c:pt>
                <c:pt idx="147">
                  <c:v>10.4574</c:v>
                </c:pt>
                <c:pt idx="148">
                  <c:v>10.466799999999999</c:v>
                </c:pt>
                <c:pt idx="149">
                  <c:v>10.4758</c:v>
                </c:pt>
                <c:pt idx="150">
                  <c:v>10.484500000000001</c:v>
                </c:pt>
                <c:pt idx="151">
                  <c:v>10.492699999999999</c:v>
                </c:pt>
                <c:pt idx="152">
                  <c:v>10.5006</c:v>
                </c:pt>
                <c:pt idx="153">
                  <c:v>10.5082</c:v>
                </c:pt>
                <c:pt idx="154">
                  <c:v>10.5154</c:v>
                </c:pt>
                <c:pt idx="155">
                  <c:v>10.5223</c:v>
                </c:pt>
                <c:pt idx="156">
                  <c:v>10.5289</c:v>
                </c:pt>
                <c:pt idx="157">
                  <c:v>10.5352</c:v>
                </c:pt>
                <c:pt idx="158">
                  <c:v>10.5413</c:v>
                </c:pt>
                <c:pt idx="159">
                  <c:v>10.547000000000001</c:v>
                </c:pt>
                <c:pt idx="160">
                  <c:v>10.5526</c:v>
                </c:pt>
                <c:pt idx="161">
                  <c:v>10.5579</c:v>
                </c:pt>
                <c:pt idx="162">
                  <c:v>10.562900000000001</c:v>
                </c:pt>
                <c:pt idx="163">
                  <c:v>10.5677</c:v>
                </c:pt>
                <c:pt idx="164">
                  <c:v>10.5724</c:v>
                </c:pt>
                <c:pt idx="165">
                  <c:v>10.5768</c:v>
                </c:pt>
                <c:pt idx="166">
                  <c:v>10.581</c:v>
                </c:pt>
                <c:pt idx="167">
                  <c:v>10.585000000000001</c:v>
                </c:pt>
                <c:pt idx="168">
                  <c:v>10.588900000000001</c:v>
                </c:pt>
                <c:pt idx="169">
                  <c:v>10.592599999999999</c:v>
                </c:pt>
                <c:pt idx="170">
                  <c:v>10.5961</c:v>
                </c:pt>
                <c:pt idx="171">
                  <c:v>10.599500000000001</c:v>
                </c:pt>
                <c:pt idx="172">
                  <c:v>10.6027</c:v>
                </c:pt>
                <c:pt idx="173">
                  <c:v>10.6058</c:v>
                </c:pt>
                <c:pt idx="174">
                  <c:v>10.608700000000001</c:v>
                </c:pt>
                <c:pt idx="175">
                  <c:v>10.611499999999999</c:v>
                </c:pt>
                <c:pt idx="176">
                  <c:v>10.6142</c:v>
                </c:pt>
                <c:pt idx="177">
                  <c:v>10.6168</c:v>
                </c:pt>
                <c:pt idx="178">
                  <c:v>10.619199999999999</c:v>
                </c:pt>
                <c:pt idx="179">
                  <c:v>10.621499999999999</c:v>
                </c:pt>
                <c:pt idx="180">
                  <c:v>10.623799999999999</c:v>
                </c:pt>
                <c:pt idx="181">
                  <c:v>10.6259</c:v>
                </c:pt>
                <c:pt idx="182">
                  <c:v>10.628</c:v>
                </c:pt>
                <c:pt idx="183">
                  <c:v>10.629899999999999</c:v>
                </c:pt>
                <c:pt idx="184">
                  <c:v>10.6318</c:v>
                </c:pt>
                <c:pt idx="185">
                  <c:v>10.633599999999999</c:v>
                </c:pt>
                <c:pt idx="186">
                  <c:v>10.635300000000001</c:v>
                </c:pt>
                <c:pt idx="187">
                  <c:v>10.636900000000001</c:v>
                </c:pt>
                <c:pt idx="188">
                  <c:v>10.638400000000001</c:v>
                </c:pt>
                <c:pt idx="189">
                  <c:v>10.639900000000001</c:v>
                </c:pt>
                <c:pt idx="190">
                  <c:v>10.641299999999999</c:v>
                </c:pt>
                <c:pt idx="191">
                  <c:v>10.6427</c:v>
                </c:pt>
                <c:pt idx="192">
                  <c:v>10.644</c:v>
                </c:pt>
                <c:pt idx="193">
                  <c:v>10.645200000000001</c:v>
                </c:pt>
                <c:pt idx="194">
                  <c:v>10.6464</c:v>
                </c:pt>
                <c:pt idx="195">
                  <c:v>10.647500000000001</c:v>
                </c:pt>
                <c:pt idx="196">
                  <c:v>10.6486</c:v>
                </c:pt>
                <c:pt idx="197">
                  <c:v>10.6496</c:v>
                </c:pt>
                <c:pt idx="198">
                  <c:v>10.650600000000001</c:v>
                </c:pt>
                <c:pt idx="199">
                  <c:v>10.6515</c:v>
                </c:pt>
                <c:pt idx="200">
                  <c:v>10.6524</c:v>
                </c:pt>
                <c:pt idx="201">
                  <c:v>10.6533</c:v>
                </c:pt>
                <c:pt idx="202">
                  <c:v>10.6541</c:v>
                </c:pt>
                <c:pt idx="203">
                  <c:v>10.6549</c:v>
                </c:pt>
                <c:pt idx="204">
                  <c:v>10.6556</c:v>
                </c:pt>
                <c:pt idx="205">
                  <c:v>10.6563</c:v>
                </c:pt>
                <c:pt idx="206">
                  <c:v>10.657</c:v>
                </c:pt>
                <c:pt idx="207">
                  <c:v>10.6577</c:v>
                </c:pt>
                <c:pt idx="208">
                  <c:v>10.658300000000001</c:v>
                </c:pt>
                <c:pt idx="209">
                  <c:v>10.658899999999999</c:v>
                </c:pt>
                <c:pt idx="210">
                  <c:v>10.6594</c:v>
                </c:pt>
                <c:pt idx="211">
                  <c:v>10.66</c:v>
                </c:pt>
                <c:pt idx="212">
                  <c:v>10.660500000000001</c:v>
                </c:pt>
                <c:pt idx="213">
                  <c:v>10.661</c:v>
                </c:pt>
                <c:pt idx="214">
                  <c:v>10.6614</c:v>
                </c:pt>
                <c:pt idx="215">
                  <c:v>10.661899999999999</c:v>
                </c:pt>
                <c:pt idx="216">
                  <c:v>10.6623</c:v>
                </c:pt>
                <c:pt idx="217">
                  <c:v>10.662699999999999</c:v>
                </c:pt>
                <c:pt idx="218">
                  <c:v>10.6631</c:v>
                </c:pt>
                <c:pt idx="219">
                  <c:v>10.663500000000001</c:v>
                </c:pt>
                <c:pt idx="220">
                  <c:v>10.6638</c:v>
                </c:pt>
                <c:pt idx="221">
                  <c:v>10.664199999999999</c:v>
                </c:pt>
                <c:pt idx="222">
                  <c:v>10.6645</c:v>
                </c:pt>
                <c:pt idx="223">
                  <c:v>10.6648</c:v>
                </c:pt>
                <c:pt idx="224">
                  <c:v>10.665100000000001</c:v>
                </c:pt>
                <c:pt idx="225">
                  <c:v>10.6653</c:v>
                </c:pt>
                <c:pt idx="226">
                  <c:v>10.6656</c:v>
                </c:pt>
                <c:pt idx="227">
                  <c:v>10.665900000000001</c:v>
                </c:pt>
                <c:pt idx="228">
                  <c:v>10.6661</c:v>
                </c:pt>
                <c:pt idx="229">
                  <c:v>10.6663</c:v>
                </c:pt>
                <c:pt idx="230">
                  <c:v>10.666499999999999</c:v>
                </c:pt>
                <c:pt idx="231">
                  <c:v>10.666700000000001</c:v>
                </c:pt>
                <c:pt idx="232">
                  <c:v>10.6669</c:v>
                </c:pt>
                <c:pt idx="233">
                  <c:v>10.6671</c:v>
                </c:pt>
                <c:pt idx="234">
                  <c:v>10.667299999999999</c:v>
                </c:pt>
                <c:pt idx="235">
                  <c:v>10.6675</c:v>
                </c:pt>
                <c:pt idx="236">
                  <c:v>10.6676</c:v>
                </c:pt>
                <c:pt idx="237">
                  <c:v>10.6678</c:v>
                </c:pt>
                <c:pt idx="238">
                  <c:v>10.667899999999999</c:v>
                </c:pt>
                <c:pt idx="239">
                  <c:v>10.668100000000001</c:v>
                </c:pt>
                <c:pt idx="240">
                  <c:v>10.668200000000001</c:v>
                </c:pt>
                <c:pt idx="241">
                  <c:v>10.6683</c:v>
                </c:pt>
                <c:pt idx="242">
                  <c:v>10.6684</c:v>
                </c:pt>
                <c:pt idx="243">
                  <c:v>10.6685</c:v>
                </c:pt>
                <c:pt idx="244">
                  <c:v>10.6686</c:v>
                </c:pt>
                <c:pt idx="245">
                  <c:v>10.668699999999999</c:v>
                </c:pt>
                <c:pt idx="246">
                  <c:v>10.668799999999999</c:v>
                </c:pt>
                <c:pt idx="247">
                  <c:v>10.668900000000001</c:v>
                </c:pt>
                <c:pt idx="248">
                  <c:v>10.669</c:v>
                </c:pt>
                <c:pt idx="249">
                  <c:v>10.669</c:v>
                </c:pt>
                <c:pt idx="250">
                  <c:v>10.6691</c:v>
                </c:pt>
                <c:pt idx="251">
                  <c:v>10.6692</c:v>
                </c:pt>
                <c:pt idx="252">
                  <c:v>10.6692</c:v>
                </c:pt>
                <c:pt idx="253">
                  <c:v>10.6693</c:v>
                </c:pt>
                <c:pt idx="254">
                  <c:v>10.6693</c:v>
                </c:pt>
                <c:pt idx="255">
                  <c:v>10.6693</c:v>
                </c:pt>
                <c:pt idx="256">
                  <c:v>10.6694</c:v>
                </c:pt>
                <c:pt idx="257">
                  <c:v>10.6694</c:v>
                </c:pt>
                <c:pt idx="258">
                  <c:v>10.6694</c:v>
                </c:pt>
                <c:pt idx="259">
                  <c:v>10.669499999999999</c:v>
                </c:pt>
                <c:pt idx="260">
                  <c:v>10.669499999999999</c:v>
                </c:pt>
                <c:pt idx="261">
                  <c:v>10.669499999999999</c:v>
                </c:pt>
                <c:pt idx="262">
                  <c:v>10.669499999999999</c:v>
                </c:pt>
                <c:pt idx="263">
                  <c:v>10.669499999999999</c:v>
                </c:pt>
                <c:pt idx="264">
                  <c:v>10.669499999999999</c:v>
                </c:pt>
                <c:pt idx="265">
                  <c:v>10.669499999999999</c:v>
                </c:pt>
                <c:pt idx="266">
                  <c:v>10.669499999999999</c:v>
                </c:pt>
                <c:pt idx="267">
                  <c:v>10.669499999999999</c:v>
                </c:pt>
                <c:pt idx="268">
                  <c:v>10.6694</c:v>
                </c:pt>
                <c:pt idx="269">
                  <c:v>10.6694</c:v>
                </c:pt>
                <c:pt idx="270">
                  <c:v>10.6694</c:v>
                </c:pt>
                <c:pt idx="271">
                  <c:v>10.6694</c:v>
                </c:pt>
                <c:pt idx="272">
                  <c:v>10.6693</c:v>
                </c:pt>
                <c:pt idx="273">
                  <c:v>10.6693</c:v>
                </c:pt>
                <c:pt idx="274">
                  <c:v>10.6692</c:v>
                </c:pt>
                <c:pt idx="275">
                  <c:v>10.6692</c:v>
                </c:pt>
                <c:pt idx="276">
                  <c:v>10.6691</c:v>
                </c:pt>
                <c:pt idx="277">
                  <c:v>10.6691</c:v>
                </c:pt>
                <c:pt idx="278">
                  <c:v>10.669</c:v>
                </c:pt>
                <c:pt idx="279">
                  <c:v>10.668900000000001</c:v>
                </c:pt>
                <c:pt idx="280">
                  <c:v>10.668799999999999</c:v>
                </c:pt>
                <c:pt idx="281">
                  <c:v>10.668799999999999</c:v>
                </c:pt>
                <c:pt idx="282">
                  <c:v>10.668699999999999</c:v>
                </c:pt>
                <c:pt idx="283">
                  <c:v>10.6686</c:v>
                </c:pt>
                <c:pt idx="284">
                  <c:v>10.6685</c:v>
                </c:pt>
                <c:pt idx="285">
                  <c:v>10.6684</c:v>
                </c:pt>
                <c:pt idx="286">
                  <c:v>10.668200000000001</c:v>
                </c:pt>
                <c:pt idx="287">
                  <c:v>10.668100000000001</c:v>
                </c:pt>
                <c:pt idx="288">
                  <c:v>10.667999999999999</c:v>
                </c:pt>
                <c:pt idx="289">
                  <c:v>10.667899999999999</c:v>
                </c:pt>
                <c:pt idx="290">
                  <c:v>10.6677</c:v>
                </c:pt>
                <c:pt idx="291">
                  <c:v>10.6676</c:v>
                </c:pt>
                <c:pt idx="292">
                  <c:v>10.667400000000001</c:v>
                </c:pt>
                <c:pt idx="293">
                  <c:v>10.667199999999999</c:v>
                </c:pt>
                <c:pt idx="294">
                  <c:v>10.667</c:v>
                </c:pt>
                <c:pt idx="295">
                  <c:v>10.6669</c:v>
                </c:pt>
                <c:pt idx="296">
                  <c:v>10.666700000000001</c:v>
                </c:pt>
                <c:pt idx="297">
                  <c:v>10.666399999999999</c:v>
                </c:pt>
                <c:pt idx="298">
                  <c:v>10.6662</c:v>
                </c:pt>
                <c:pt idx="299">
                  <c:v>10.666</c:v>
                </c:pt>
                <c:pt idx="300">
                  <c:v>10.665699999999999</c:v>
                </c:pt>
                <c:pt idx="301">
                  <c:v>10.6655</c:v>
                </c:pt>
                <c:pt idx="302">
                  <c:v>10.6652</c:v>
                </c:pt>
                <c:pt idx="303">
                  <c:v>10.664899999999999</c:v>
                </c:pt>
                <c:pt idx="304">
                  <c:v>10.6646</c:v>
                </c:pt>
                <c:pt idx="305">
                  <c:v>10.664300000000001</c:v>
                </c:pt>
                <c:pt idx="306">
                  <c:v>10.664</c:v>
                </c:pt>
                <c:pt idx="307">
                  <c:v>10.6637</c:v>
                </c:pt>
                <c:pt idx="308">
                  <c:v>10.6633</c:v>
                </c:pt>
                <c:pt idx="309">
                  <c:v>10.6629</c:v>
                </c:pt>
                <c:pt idx="310">
                  <c:v>10.6625</c:v>
                </c:pt>
                <c:pt idx="311">
                  <c:v>10.662100000000001</c:v>
                </c:pt>
                <c:pt idx="312">
                  <c:v>10.6617</c:v>
                </c:pt>
                <c:pt idx="313">
                  <c:v>10.661199999999999</c:v>
                </c:pt>
                <c:pt idx="314">
                  <c:v>10.6607</c:v>
                </c:pt>
                <c:pt idx="315">
                  <c:v>10.6602</c:v>
                </c:pt>
                <c:pt idx="316">
                  <c:v>10.659700000000001</c:v>
                </c:pt>
                <c:pt idx="317">
                  <c:v>10.6592</c:v>
                </c:pt>
                <c:pt idx="318">
                  <c:v>10.6586</c:v>
                </c:pt>
                <c:pt idx="319">
                  <c:v>10.657999999999999</c:v>
                </c:pt>
                <c:pt idx="320">
                  <c:v>10.657400000000001</c:v>
                </c:pt>
                <c:pt idx="321">
                  <c:v>10.656700000000001</c:v>
                </c:pt>
                <c:pt idx="322">
                  <c:v>10.656000000000001</c:v>
                </c:pt>
                <c:pt idx="323">
                  <c:v>10.6553</c:v>
                </c:pt>
                <c:pt idx="324">
                  <c:v>10.654500000000001</c:v>
                </c:pt>
                <c:pt idx="325">
                  <c:v>10.653700000000001</c:v>
                </c:pt>
                <c:pt idx="326">
                  <c:v>10.652900000000001</c:v>
                </c:pt>
                <c:pt idx="327">
                  <c:v>10.651999999999999</c:v>
                </c:pt>
                <c:pt idx="328">
                  <c:v>10.6511</c:v>
                </c:pt>
                <c:pt idx="329">
                  <c:v>10.6501</c:v>
                </c:pt>
                <c:pt idx="330">
                  <c:v>10.649100000000001</c:v>
                </c:pt>
                <c:pt idx="331">
                  <c:v>10.648099999999999</c:v>
                </c:pt>
                <c:pt idx="332">
                  <c:v>10.647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10.6434</c:v>
                </c:pt>
                <c:pt idx="336">
                  <c:v>10.641999999999999</c:v>
                </c:pt>
                <c:pt idx="337">
                  <c:v>10.640700000000001</c:v>
                </c:pt>
                <c:pt idx="338">
                  <c:v>10.639200000000001</c:v>
                </c:pt>
                <c:pt idx="339">
                  <c:v>10.637700000000001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10.6309</c:v>
                </c:pt>
                <c:pt idx="344">
                  <c:v>10.629</c:v>
                </c:pt>
                <c:pt idx="345">
                  <c:v>10.627000000000001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10.610200000000001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10.597899999999999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10.5747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10.538399999999999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9.9854000000000003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9.7114799999999999</c:v>
                </c:pt>
                <c:pt idx="415">
                  <c:v>9.6710700000000003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9.4939699999999991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9.0571900000000003</c:v>
                </c:pt>
                <c:pt idx="428">
                  <c:v>8.9940999999999995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8.1613199999999999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7.0566300000000002</c:v>
                </c:pt>
                <c:pt idx="451">
                  <c:v>6.9424599999999996</c:v>
                </c:pt>
                <c:pt idx="452">
                  <c:v>6.8260500000000004</c:v>
                </c:pt>
                <c:pt idx="453">
                  <c:v>6.7073900000000002</c:v>
                </c:pt>
                <c:pt idx="454">
                  <c:v>6.5865299999999998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0.67055600000000004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F-44C0-9F25-ED77A2E60797}"/>
            </c:ext>
          </c:extLst>
        </c:ser>
        <c:ser>
          <c:idx val="3"/>
          <c:order val="1"/>
          <c:tx>
            <c:strRef>
              <c:f>'Combined Sim + PCB'!$C$1</c:f>
              <c:strCache>
                <c:ptCount val="1"/>
                <c:pt idx="0">
                  <c:v>Stage 2 Simulation (OPA551)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'Combined Sim + PCB'!$A$2:$A$502</c:f>
              <c:numCache>
                <c:formatCode>General</c:formatCode>
                <c:ptCount val="501"/>
                <c:pt idx="0">
                  <c:v>1</c:v>
                </c:pt>
                <c:pt idx="1">
                  <c:v>1.023292992</c:v>
                </c:pt>
                <c:pt idx="2">
                  <c:v>1.0471285480000001</c:v>
                </c:pt>
                <c:pt idx="3">
                  <c:v>1.071519305</c:v>
                </c:pt>
                <c:pt idx="4">
                  <c:v>1.0964781960000001</c:v>
                </c:pt>
                <c:pt idx="5">
                  <c:v>1.122018454</c:v>
                </c:pt>
                <c:pt idx="6">
                  <c:v>1.1481536210000001</c:v>
                </c:pt>
                <c:pt idx="7">
                  <c:v>1.174897555</c:v>
                </c:pt>
                <c:pt idx="8">
                  <c:v>1.202264435</c:v>
                </c:pt>
                <c:pt idx="9">
                  <c:v>1.230268771</c:v>
                </c:pt>
                <c:pt idx="10">
                  <c:v>1.258925412</c:v>
                </c:pt>
                <c:pt idx="11">
                  <c:v>1.2882495519999999</c:v>
                </c:pt>
                <c:pt idx="12">
                  <c:v>1.318256739</c:v>
                </c:pt>
                <c:pt idx="13">
                  <c:v>1.348962883</c:v>
                </c:pt>
                <c:pt idx="14">
                  <c:v>1.380384265</c:v>
                </c:pt>
                <c:pt idx="15">
                  <c:v>1.4125375449999999</c:v>
                </c:pt>
                <c:pt idx="16">
                  <c:v>1.445439771</c:v>
                </c:pt>
                <c:pt idx="17">
                  <c:v>1.479108388</c:v>
                </c:pt>
                <c:pt idx="18">
                  <c:v>1.513561248</c:v>
                </c:pt>
                <c:pt idx="19">
                  <c:v>1.5488166189999999</c:v>
                </c:pt>
                <c:pt idx="20">
                  <c:v>1.584893192</c:v>
                </c:pt>
                <c:pt idx="21">
                  <c:v>1.621810097</c:v>
                </c:pt>
                <c:pt idx="22">
                  <c:v>1.659586907</c:v>
                </c:pt>
                <c:pt idx="23">
                  <c:v>1.6982436519999999</c:v>
                </c:pt>
                <c:pt idx="24">
                  <c:v>1.737800829</c:v>
                </c:pt>
                <c:pt idx="25">
                  <c:v>1.7782794099999999</c:v>
                </c:pt>
                <c:pt idx="26">
                  <c:v>1.8197008589999999</c:v>
                </c:pt>
                <c:pt idx="27">
                  <c:v>1.8620871370000001</c:v>
                </c:pt>
                <c:pt idx="28">
                  <c:v>1.9054607180000001</c:v>
                </c:pt>
                <c:pt idx="29">
                  <c:v>1.9498446</c:v>
                </c:pt>
                <c:pt idx="30">
                  <c:v>1.995262315</c:v>
                </c:pt>
                <c:pt idx="31">
                  <c:v>2.0417379449999999</c:v>
                </c:pt>
                <c:pt idx="32">
                  <c:v>2.0892961309999998</c:v>
                </c:pt>
                <c:pt idx="33">
                  <c:v>2.1379620899999998</c:v>
                </c:pt>
                <c:pt idx="34">
                  <c:v>2.1877616240000002</c:v>
                </c:pt>
                <c:pt idx="35">
                  <c:v>2.2387211389999999</c:v>
                </c:pt>
                <c:pt idx="36">
                  <c:v>2.2908676529999998</c:v>
                </c:pt>
                <c:pt idx="37">
                  <c:v>2.3442288150000001</c:v>
                </c:pt>
                <c:pt idx="38">
                  <c:v>2.3988329190000002</c:v>
                </c:pt>
                <c:pt idx="39">
                  <c:v>2.454708916</c:v>
                </c:pt>
                <c:pt idx="40">
                  <c:v>2.5118864319999998</c:v>
                </c:pt>
                <c:pt idx="41">
                  <c:v>2.5703957829999999</c:v>
                </c:pt>
                <c:pt idx="42">
                  <c:v>2.6302679919999998</c:v>
                </c:pt>
                <c:pt idx="43">
                  <c:v>2.6915348039999998</c:v>
                </c:pt>
                <c:pt idx="44">
                  <c:v>2.7542287029999999</c:v>
                </c:pt>
                <c:pt idx="45">
                  <c:v>2.8183829309999999</c:v>
                </c:pt>
                <c:pt idx="46">
                  <c:v>2.8840315030000001</c:v>
                </c:pt>
                <c:pt idx="47">
                  <c:v>2.9512092270000001</c:v>
                </c:pt>
                <c:pt idx="48">
                  <c:v>3.0199517199999999</c:v>
                </c:pt>
                <c:pt idx="49">
                  <c:v>3.0902954330000001</c:v>
                </c:pt>
                <c:pt idx="50">
                  <c:v>3.16227766</c:v>
                </c:pt>
                <c:pt idx="51">
                  <c:v>3.2359365690000002</c:v>
                </c:pt>
                <c:pt idx="52">
                  <c:v>3.3113112149999999</c:v>
                </c:pt>
                <c:pt idx="53">
                  <c:v>3.388441561</c:v>
                </c:pt>
                <c:pt idx="54">
                  <c:v>3.467368505</c:v>
                </c:pt>
                <c:pt idx="55">
                  <c:v>3.5481338920000001</c:v>
                </c:pt>
                <c:pt idx="56">
                  <c:v>3.6307805480000002</c:v>
                </c:pt>
                <c:pt idx="57">
                  <c:v>3.7153522909999999</c:v>
                </c:pt>
                <c:pt idx="58">
                  <c:v>3.8018939629999999</c:v>
                </c:pt>
                <c:pt idx="59">
                  <c:v>3.89045145</c:v>
                </c:pt>
                <c:pt idx="60">
                  <c:v>3.9810717059999998</c:v>
                </c:pt>
                <c:pt idx="61">
                  <c:v>4.0738027780000001</c:v>
                </c:pt>
                <c:pt idx="62">
                  <c:v>4.168693835</c:v>
                </c:pt>
                <c:pt idx="63">
                  <c:v>4.2657951880000002</c:v>
                </c:pt>
                <c:pt idx="64">
                  <c:v>4.3651583220000001</c:v>
                </c:pt>
                <c:pt idx="65">
                  <c:v>4.4668359219999996</c:v>
                </c:pt>
                <c:pt idx="66">
                  <c:v>4.5708818960000004</c:v>
                </c:pt>
                <c:pt idx="67">
                  <c:v>4.6773514130000002</c:v>
                </c:pt>
                <c:pt idx="68">
                  <c:v>4.7863009229999998</c:v>
                </c:pt>
                <c:pt idx="69">
                  <c:v>4.8977881940000003</c:v>
                </c:pt>
                <c:pt idx="70">
                  <c:v>5.0118723359999997</c:v>
                </c:pt>
                <c:pt idx="71">
                  <c:v>5.1286138399999999</c:v>
                </c:pt>
                <c:pt idx="72">
                  <c:v>5.248074602</c:v>
                </c:pt>
                <c:pt idx="73">
                  <c:v>5.3703179639999998</c:v>
                </c:pt>
                <c:pt idx="74">
                  <c:v>5.4954087390000002</c:v>
                </c:pt>
                <c:pt idx="75">
                  <c:v>5.6234132519999998</c:v>
                </c:pt>
                <c:pt idx="76">
                  <c:v>5.754399373</c:v>
                </c:pt>
                <c:pt idx="77">
                  <c:v>5.8884365540000001</c:v>
                </c:pt>
                <c:pt idx="78">
                  <c:v>6.0255958610000002</c:v>
                </c:pt>
                <c:pt idx="79">
                  <c:v>6.1659500190000003</c:v>
                </c:pt>
                <c:pt idx="80">
                  <c:v>6.3095734449999998</c:v>
                </c:pt>
                <c:pt idx="81">
                  <c:v>6.4565422899999998</c:v>
                </c:pt>
                <c:pt idx="82">
                  <c:v>6.6069344799999996</c:v>
                </c:pt>
                <c:pt idx="83">
                  <c:v>6.7608297540000004</c:v>
                </c:pt>
                <c:pt idx="84">
                  <c:v>6.9183097089999999</c:v>
                </c:pt>
                <c:pt idx="85">
                  <c:v>7.0794578440000002</c:v>
                </c:pt>
                <c:pt idx="86">
                  <c:v>7.2443596010000002</c:v>
                </c:pt>
                <c:pt idx="87">
                  <c:v>7.4131024129999998</c:v>
                </c:pt>
                <c:pt idx="88">
                  <c:v>7.5857757499999998</c:v>
                </c:pt>
                <c:pt idx="89">
                  <c:v>7.7624711660000001</c:v>
                </c:pt>
                <c:pt idx="90">
                  <c:v>7.9432823470000002</c:v>
                </c:pt>
                <c:pt idx="91">
                  <c:v>8.1283051620000002</c:v>
                </c:pt>
                <c:pt idx="92">
                  <c:v>8.3176377109999997</c:v>
                </c:pt>
                <c:pt idx="93">
                  <c:v>8.5113803820000005</c:v>
                </c:pt>
                <c:pt idx="94">
                  <c:v>8.7096359000000003</c:v>
                </c:pt>
                <c:pt idx="95">
                  <c:v>8.9125093809999996</c:v>
                </c:pt>
                <c:pt idx="96">
                  <c:v>9.1201083940000007</c:v>
                </c:pt>
                <c:pt idx="97">
                  <c:v>9.332543008</c:v>
                </c:pt>
                <c:pt idx="98">
                  <c:v>9.5499258600000001</c:v>
                </c:pt>
                <c:pt idx="99">
                  <c:v>9.7723722100000003</c:v>
                </c:pt>
                <c:pt idx="100">
                  <c:v>10</c:v>
                </c:pt>
                <c:pt idx="101">
                  <c:v>10.23292992</c:v>
                </c:pt>
                <c:pt idx="102">
                  <c:v>10.471285480000001</c:v>
                </c:pt>
                <c:pt idx="103">
                  <c:v>10.71519305</c:v>
                </c:pt>
                <c:pt idx="104">
                  <c:v>10.96478196</c:v>
                </c:pt>
                <c:pt idx="105">
                  <c:v>11.22018454</c:v>
                </c:pt>
                <c:pt idx="106">
                  <c:v>11.48153621</c:v>
                </c:pt>
                <c:pt idx="107">
                  <c:v>11.748975550000001</c:v>
                </c:pt>
                <c:pt idx="108">
                  <c:v>12.02264435</c:v>
                </c:pt>
                <c:pt idx="109">
                  <c:v>12.302687710000001</c:v>
                </c:pt>
                <c:pt idx="110">
                  <c:v>12.58925412</c:v>
                </c:pt>
                <c:pt idx="111">
                  <c:v>12.882495520000001</c:v>
                </c:pt>
                <c:pt idx="112">
                  <c:v>13.182567390000001</c:v>
                </c:pt>
                <c:pt idx="113">
                  <c:v>13.489628829999999</c:v>
                </c:pt>
                <c:pt idx="114">
                  <c:v>13.80384265</c:v>
                </c:pt>
                <c:pt idx="115">
                  <c:v>14.12537545</c:v>
                </c:pt>
                <c:pt idx="116">
                  <c:v>14.45439771</c:v>
                </c:pt>
                <c:pt idx="117">
                  <c:v>14.79108388</c:v>
                </c:pt>
                <c:pt idx="118">
                  <c:v>15.135612480000001</c:v>
                </c:pt>
                <c:pt idx="119">
                  <c:v>15.488166189999999</c:v>
                </c:pt>
                <c:pt idx="120">
                  <c:v>15.84893192</c:v>
                </c:pt>
                <c:pt idx="121">
                  <c:v>16.218100969999998</c:v>
                </c:pt>
                <c:pt idx="122">
                  <c:v>16.595869069999999</c:v>
                </c:pt>
                <c:pt idx="123">
                  <c:v>16.98243652</c:v>
                </c:pt>
                <c:pt idx="124">
                  <c:v>17.37800829</c:v>
                </c:pt>
                <c:pt idx="125">
                  <c:v>17.7827941</c:v>
                </c:pt>
                <c:pt idx="126">
                  <c:v>18.197008589999999</c:v>
                </c:pt>
                <c:pt idx="127">
                  <c:v>18.62087137</c:v>
                </c:pt>
                <c:pt idx="128">
                  <c:v>19.054607180000001</c:v>
                </c:pt>
                <c:pt idx="129">
                  <c:v>19.498446000000001</c:v>
                </c:pt>
                <c:pt idx="130">
                  <c:v>19.952623150000001</c:v>
                </c:pt>
                <c:pt idx="131">
                  <c:v>20.417379449999999</c:v>
                </c:pt>
                <c:pt idx="132">
                  <c:v>20.89296131</c:v>
                </c:pt>
                <c:pt idx="133">
                  <c:v>21.379620899999999</c:v>
                </c:pt>
                <c:pt idx="134">
                  <c:v>21.877616239999998</c:v>
                </c:pt>
                <c:pt idx="135">
                  <c:v>22.387211390000001</c:v>
                </c:pt>
                <c:pt idx="136">
                  <c:v>22.908676530000001</c:v>
                </c:pt>
                <c:pt idx="137">
                  <c:v>23.44228815</c:v>
                </c:pt>
                <c:pt idx="138">
                  <c:v>23.988329190000002</c:v>
                </c:pt>
                <c:pt idx="139">
                  <c:v>24.547089159999999</c:v>
                </c:pt>
                <c:pt idx="140">
                  <c:v>25.11886432</c:v>
                </c:pt>
                <c:pt idx="141">
                  <c:v>25.70395783</c:v>
                </c:pt>
                <c:pt idx="142">
                  <c:v>26.302679919999999</c:v>
                </c:pt>
                <c:pt idx="143">
                  <c:v>26.915348040000001</c:v>
                </c:pt>
                <c:pt idx="144">
                  <c:v>27.542287030000001</c:v>
                </c:pt>
                <c:pt idx="145">
                  <c:v>28.18382931</c:v>
                </c:pt>
                <c:pt idx="146">
                  <c:v>28.840315029999999</c:v>
                </c:pt>
                <c:pt idx="147">
                  <c:v>29.51209227</c:v>
                </c:pt>
                <c:pt idx="148">
                  <c:v>30.199517199999999</c:v>
                </c:pt>
                <c:pt idx="149">
                  <c:v>30.90295433</c:v>
                </c:pt>
                <c:pt idx="150">
                  <c:v>31.622776600000002</c:v>
                </c:pt>
                <c:pt idx="151">
                  <c:v>32.359365689999997</c:v>
                </c:pt>
                <c:pt idx="152">
                  <c:v>33.113112149999999</c:v>
                </c:pt>
                <c:pt idx="153">
                  <c:v>33.884415609999998</c:v>
                </c:pt>
                <c:pt idx="154">
                  <c:v>34.673685050000003</c:v>
                </c:pt>
                <c:pt idx="155">
                  <c:v>35.481338919999999</c:v>
                </c:pt>
                <c:pt idx="156">
                  <c:v>36.307805479999999</c:v>
                </c:pt>
                <c:pt idx="157">
                  <c:v>37.15352291</c:v>
                </c:pt>
                <c:pt idx="158">
                  <c:v>38.018939629999998</c:v>
                </c:pt>
                <c:pt idx="159">
                  <c:v>38.904514499999998</c:v>
                </c:pt>
                <c:pt idx="160">
                  <c:v>39.810717060000002</c:v>
                </c:pt>
                <c:pt idx="161">
                  <c:v>40.738027780000003</c:v>
                </c:pt>
                <c:pt idx="162">
                  <c:v>41.686938349999998</c:v>
                </c:pt>
                <c:pt idx="163">
                  <c:v>42.657951879999999</c:v>
                </c:pt>
                <c:pt idx="164">
                  <c:v>43.651583219999999</c:v>
                </c:pt>
                <c:pt idx="165">
                  <c:v>44.668359219999999</c:v>
                </c:pt>
                <c:pt idx="166">
                  <c:v>45.708818960000002</c:v>
                </c:pt>
                <c:pt idx="167">
                  <c:v>46.773514130000002</c:v>
                </c:pt>
                <c:pt idx="168">
                  <c:v>47.863009230000003</c:v>
                </c:pt>
                <c:pt idx="169">
                  <c:v>48.977881940000003</c:v>
                </c:pt>
                <c:pt idx="170">
                  <c:v>50.118723359999997</c:v>
                </c:pt>
                <c:pt idx="171">
                  <c:v>51.286138399999999</c:v>
                </c:pt>
                <c:pt idx="172">
                  <c:v>52.480746019999998</c:v>
                </c:pt>
                <c:pt idx="173">
                  <c:v>53.703179640000002</c:v>
                </c:pt>
                <c:pt idx="174">
                  <c:v>54.954087389999998</c:v>
                </c:pt>
                <c:pt idx="175">
                  <c:v>56.234132520000003</c:v>
                </c:pt>
                <c:pt idx="176">
                  <c:v>57.543993729999997</c:v>
                </c:pt>
                <c:pt idx="177">
                  <c:v>58.884365539999997</c:v>
                </c:pt>
                <c:pt idx="178">
                  <c:v>60.25595861</c:v>
                </c:pt>
                <c:pt idx="179">
                  <c:v>61.659500190000003</c:v>
                </c:pt>
                <c:pt idx="180">
                  <c:v>63.095734450000002</c:v>
                </c:pt>
                <c:pt idx="181">
                  <c:v>64.565422900000002</c:v>
                </c:pt>
                <c:pt idx="182">
                  <c:v>66.069344799999996</c:v>
                </c:pt>
                <c:pt idx="183">
                  <c:v>67.608297539999995</c:v>
                </c:pt>
                <c:pt idx="184">
                  <c:v>69.183097090000004</c:v>
                </c:pt>
                <c:pt idx="185">
                  <c:v>70.794578439999995</c:v>
                </c:pt>
                <c:pt idx="186">
                  <c:v>72.443596009999993</c:v>
                </c:pt>
                <c:pt idx="187">
                  <c:v>74.13102413</c:v>
                </c:pt>
                <c:pt idx="188">
                  <c:v>75.857757500000005</c:v>
                </c:pt>
                <c:pt idx="189">
                  <c:v>77.624711660000003</c:v>
                </c:pt>
                <c:pt idx="190">
                  <c:v>79.432823470000002</c:v>
                </c:pt>
                <c:pt idx="191">
                  <c:v>81.283051619999995</c:v>
                </c:pt>
                <c:pt idx="192">
                  <c:v>83.176377110000004</c:v>
                </c:pt>
                <c:pt idx="193">
                  <c:v>85.113803820000001</c:v>
                </c:pt>
                <c:pt idx="194">
                  <c:v>87.096359000000007</c:v>
                </c:pt>
                <c:pt idx="195">
                  <c:v>89.125093809999996</c:v>
                </c:pt>
                <c:pt idx="196">
                  <c:v>91.201083940000004</c:v>
                </c:pt>
                <c:pt idx="197">
                  <c:v>93.325430080000004</c:v>
                </c:pt>
                <c:pt idx="198">
                  <c:v>95.499258600000005</c:v>
                </c:pt>
                <c:pt idx="199">
                  <c:v>97.723722100000003</c:v>
                </c:pt>
                <c:pt idx="200">
                  <c:v>100</c:v>
                </c:pt>
                <c:pt idx="201">
                  <c:v>102.32929919999999</c:v>
                </c:pt>
                <c:pt idx="202">
                  <c:v>104.7128548</c:v>
                </c:pt>
                <c:pt idx="203">
                  <c:v>107.15193050000001</c:v>
                </c:pt>
                <c:pt idx="204">
                  <c:v>109.64781960000001</c:v>
                </c:pt>
                <c:pt idx="205">
                  <c:v>112.2018454</c:v>
                </c:pt>
                <c:pt idx="206">
                  <c:v>114.8153621</c:v>
                </c:pt>
                <c:pt idx="207">
                  <c:v>117.4897555</c:v>
                </c:pt>
                <c:pt idx="208">
                  <c:v>120.2264435</c:v>
                </c:pt>
                <c:pt idx="209">
                  <c:v>123.02687709999999</c:v>
                </c:pt>
                <c:pt idx="210">
                  <c:v>125.8925412</c:v>
                </c:pt>
                <c:pt idx="211">
                  <c:v>128.82495520000001</c:v>
                </c:pt>
                <c:pt idx="212">
                  <c:v>131.8256739</c:v>
                </c:pt>
                <c:pt idx="213">
                  <c:v>134.89628830000001</c:v>
                </c:pt>
                <c:pt idx="214">
                  <c:v>138.03842650000001</c:v>
                </c:pt>
                <c:pt idx="215">
                  <c:v>141.25375450000001</c:v>
                </c:pt>
                <c:pt idx="216">
                  <c:v>144.54397710000001</c:v>
                </c:pt>
                <c:pt idx="217">
                  <c:v>147.91083879999999</c:v>
                </c:pt>
                <c:pt idx="218">
                  <c:v>151.3561248</c:v>
                </c:pt>
                <c:pt idx="219">
                  <c:v>154.88166190000001</c:v>
                </c:pt>
                <c:pt idx="220">
                  <c:v>158.48931920000001</c:v>
                </c:pt>
                <c:pt idx="221">
                  <c:v>162.1810097</c:v>
                </c:pt>
                <c:pt idx="222">
                  <c:v>165.95869070000001</c:v>
                </c:pt>
                <c:pt idx="223">
                  <c:v>169.82436519999999</c:v>
                </c:pt>
                <c:pt idx="224">
                  <c:v>173.7800829</c:v>
                </c:pt>
                <c:pt idx="225">
                  <c:v>177.82794100000001</c:v>
                </c:pt>
                <c:pt idx="226">
                  <c:v>181.97008589999999</c:v>
                </c:pt>
                <c:pt idx="227">
                  <c:v>186.2087137</c:v>
                </c:pt>
                <c:pt idx="228">
                  <c:v>190.54607179999999</c:v>
                </c:pt>
                <c:pt idx="229">
                  <c:v>194.98446000000001</c:v>
                </c:pt>
                <c:pt idx="230">
                  <c:v>199.52623149999999</c:v>
                </c:pt>
                <c:pt idx="231">
                  <c:v>204.17379450000001</c:v>
                </c:pt>
                <c:pt idx="232">
                  <c:v>208.92961310000001</c:v>
                </c:pt>
                <c:pt idx="233">
                  <c:v>213.796209</c:v>
                </c:pt>
                <c:pt idx="234">
                  <c:v>218.7761624</c:v>
                </c:pt>
                <c:pt idx="235">
                  <c:v>223.87211389999999</c:v>
                </c:pt>
                <c:pt idx="236">
                  <c:v>229.0867653</c:v>
                </c:pt>
                <c:pt idx="237">
                  <c:v>234.42288149999999</c:v>
                </c:pt>
                <c:pt idx="238">
                  <c:v>239.88329189999999</c:v>
                </c:pt>
                <c:pt idx="239">
                  <c:v>245.47089159999999</c:v>
                </c:pt>
                <c:pt idx="240">
                  <c:v>251.1886432</c:v>
                </c:pt>
                <c:pt idx="241">
                  <c:v>257.03957830000002</c:v>
                </c:pt>
                <c:pt idx="242">
                  <c:v>263.02679920000003</c:v>
                </c:pt>
                <c:pt idx="243">
                  <c:v>269.15348039999998</c:v>
                </c:pt>
                <c:pt idx="244">
                  <c:v>275.4228703</c:v>
                </c:pt>
                <c:pt idx="245">
                  <c:v>281.83829309999999</c:v>
                </c:pt>
                <c:pt idx="246">
                  <c:v>288.40315029999999</c:v>
                </c:pt>
                <c:pt idx="247">
                  <c:v>295.12092269999999</c:v>
                </c:pt>
                <c:pt idx="248">
                  <c:v>301.99517200000003</c:v>
                </c:pt>
                <c:pt idx="249">
                  <c:v>309.0295433</c:v>
                </c:pt>
                <c:pt idx="250">
                  <c:v>316.22776599999997</c:v>
                </c:pt>
                <c:pt idx="251">
                  <c:v>323.59365689999998</c:v>
                </c:pt>
                <c:pt idx="252">
                  <c:v>331.13112150000001</c:v>
                </c:pt>
                <c:pt idx="253">
                  <c:v>338.84415610000002</c:v>
                </c:pt>
                <c:pt idx="254">
                  <c:v>346.7368505</c:v>
                </c:pt>
                <c:pt idx="255">
                  <c:v>354.81338920000002</c:v>
                </c:pt>
                <c:pt idx="256">
                  <c:v>363.07805480000002</c:v>
                </c:pt>
                <c:pt idx="257">
                  <c:v>371.53522909999998</c:v>
                </c:pt>
                <c:pt idx="258">
                  <c:v>380.1893963</c:v>
                </c:pt>
                <c:pt idx="259">
                  <c:v>389.04514499999999</c:v>
                </c:pt>
                <c:pt idx="260">
                  <c:v>398.10717060000002</c:v>
                </c:pt>
                <c:pt idx="261">
                  <c:v>407.38027779999999</c:v>
                </c:pt>
                <c:pt idx="262">
                  <c:v>416.86938350000003</c:v>
                </c:pt>
                <c:pt idx="263">
                  <c:v>426.57951880000002</c:v>
                </c:pt>
                <c:pt idx="264">
                  <c:v>436.51583219999998</c:v>
                </c:pt>
                <c:pt idx="265">
                  <c:v>446.68359220000002</c:v>
                </c:pt>
                <c:pt idx="266">
                  <c:v>457.08818960000002</c:v>
                </c:pt>
                <c:pt idx="267">
                  <c:v>467.73514130000001</c:v>
                </c:pt>
                <c:pt idx="268">
                  <c:v>478.6300923</c:v>
                </c:pt>
                <c:pt idx="269">
                  <c:v>489.77881939999997</c:v>
                </c:pt>
                <c:pt idx="270">
                  <c:v>501.18723360000001</c:v>
                </c:pt>
                <c:pt idx="271">
                  <c:v>512.86138400000004</c:v>
                </c:pt>
                <c:pt idx="272">
                  <c:v>524.80746020000004</c:v>
                </c:pt>
                <c:pt idx="273">
                  <c:v>537.03179639999996</c:v>
                </c:pt>
                <c:pt idx="274">
                  <c:v>549.54087389999995</c:v>
                </c:pt>
                <c:pt idx="275">
                  <c:v>562.34132520000003</c:v>
                </c:pt>
                <c:pt idx="276">
                  <c:v>575.4399373</c:v>
                </c:pt>
                <c:pt idx="277">
                  <c:v>588.84365539999999</c:v>
                </c:pt>
                <c:pt idx="278">
                  <c:v>602.55958610000005</c:v>
                </c:pt>
                <c:pt idx="279">
                  <c:v>616.59500190000006</c:v>
                </c:pt>
                <c:pt idx="280">
                  <c:v>630.95734449999998</c:v>
                </c:pt>
                <c:pt idx="281">
                  <c:v>645.65422899999999</c:v>
                </c:pt>
                <c:pt idx="282">
                  <c:v>660.69344799999999</c:v>
                </c:pt>
                <c:pt idx="283">
                  <c:v>676.08297540000001</c:v>
                </c:pt>
                <c:pt idx="284">
                  <c:v>691.83097090000001</c:v>
                </c:pt>
                <c:pt idx="285">
                  <c:v>707.94578439999998</c:v>
                </c:pt>
                <c:pt idx="286">
                  <c:v>724.43596009999999</c:v>
                </c:pt>
                <c:pt idx="287">
                  <c:v>741.31024130000003</c:v>
                </c:pt>
                <c:pt idx="288">
                  <c:v>758.57757500000002</c:v>
                </c:pt>
                <c:pt idx="289">
                  <c:v>776.24711660000003</c:v>
                </c:pt>
                <c:pt idx="290">
                  <c:v>794.32823470000005</c:v>
                </c:pt>
                <c:pt idx="291">
                  <c:v>812.83051620000003</c:v>
                </c:pt>
                <c:pt idx="292">
                  <c:v>831.76377109999999</c:v>
                </c:pt>
                <c:pt idx="293">
                  <c:v>851.13803819999998</c:v>
                </c:pt>
                <c:pt idx="294">
                  <c:v>870.96358999999995</c:v>
                </c:pt>
                <c:pt idx="295">
                  <c:v>891.25093809999998</c:v>
                </c:pt>
                <c:pt idx="296">
                  <c:v>912.01083940000001</c:v>
                </c:pt>
                <c:pt idx="297">
                  <c:v>933.25430080000001</c:v>
                </c:pt>
                <c:pt idx="298">
                  <c:v>954.99258599999996</c:v>
                </c:pt>
                <c:pt idx="299">
                  <c:v>977.23722099999998</c:v>
                </c:pt>
                <c:pt idx="300">
                  <c:v>1000</c:v>
                </c:pt>
                <c:pt idx="301">
                  <c:v>1023.292992</c:v>
                </c:pt>
                <c:pt idx="302">
                  <c:v>1047.1285479999999</c:v>
                </c:pt>
                <c:pt idx="303">
                  <c:v>1071.519305</c:v>
                </c:pt>
                <c:pt idx="304">
                  <c:v>1096.478196</c:v>
                </c:pt>
                <c:pt idx="305">
                  <c:v>1122.018454</c:v>
                </c:pt>
                <c:pt idx="306">
                  <c:v>1148.1536209999999</c:v>
                </c:pt>
                <c:pt idx="307">
                  <c:v>1174.897555</c:v>
                </c:pt>
                <c:pt idx="308">
                  <c:v>1202.264435</c:v>
                </c:pt>
                <c:pt idx="309">
                  <c:v>1230.268771</c:v>
                </c:pt>
                <c:pt idx="310">
                  <c:v>1258.9254120000001</c:v>
                </c:pt>
                <c:pt idx="311">
                  <c:v>1288.249552</c:v>
                </c:pt>
                <c:pt idx="312">
                  <c:v>1318.2567389999999</c:v>
                </c:pt>
                <c:pt idx="313">
                  <c:v>1348.9628829999999</c:v>
                </c:pt>
                <c:pt idx="314">
                  <c:v>1380.3842649999999</c:v>
                </c:pt>
                <c:pt idx="315">
                  <c:v>1412.5375449999999</c:v>
                </c:pt>
                <c:pt idx="316">
                  <c:v>1445.4397710000001</c:v>
                </c:pt>
                <c:pt idx="317">
                  <c:v>1479.1083880000001</c:v>
                </c:pt>
                <c:pt idx="318">
                  <c:v>1513.561248</c:v>
                </c:pt>
                <c:pt idx="319">
                  <c:v>1548.8166189999999</c:v>
                </c:pt>
                <c:pt idx="320">
                  <c:v>1584.893192</c:v>
                </c:pt>
                <c:pt idx="321">
                  <c:v>1621.810097</c:v>
                </c:pt>
                <c:pt idx="322">
                  <c:v>1659.5869070000001</c:v>
                </c:pt>
                <c:pt idx="323">
                  <c:v>1698.2436520000001</c:v>
                </c:pt>
                <c:pt idx="324">
                  <c:v>1737.800829</c:v>
                </c:pt>
                <c:pt idx="325">
                  <c:v>1778.2794100000001</c:v>
                </c:pt>
                <c:pt idx="326">
                  <c:v>1819.700859</c:v>
                </c:pt>
                <c:pt idx="327">
                  <c:v>1862.087137</c:v>
                </c:pt>
                <c:pt idx="328">
                  <c:v>1905.460718</c:v>
                </c:pt>
                <c:pt idx="329">
                  <c:v>1949.8445999999999</c:v>
                </c:pt>
                <c:pt idx="330">
                  <c:v>1995.2623149999999</c:v>
                </c:pt>
                <c:pt idx="331">
                  <c:v>2041.7379450000001</c:v>
                </c:pt>
                <c:pt idx="332">
                  <c:v>2089.2961310000001</c:v>
                </c:pt>
                <c:pt idx="333">
                  <c:v>2137.96209</c:v>
                </c:pt>
                <c:pt idx="334">
                  <c:v>2187.7616240000002</c:v>
                </c:pt>
                <c:pt idx="335">
                  <c:v>2238.7211390000002</c:v>
                </c:pt>
                <c:pt idx="336">
                  <c:v>2290.8676529999998</c:v>
                </c:pt>
                <c:pt idx="337">
                  <c:v>2344.2288149999999</c:v>
                </c:pt>
                <c:pt idx="338">
                  <c:v>2398.8329189999999</c:v>
                </c:pt>
                <c:pt idx="339">
                  <c:v>2454.708916</c:v>
                </c:pt>
                <c:pt idx="340">
                  <c:v>2511.8864319999998</c:v>
                </c:pt>
                <c:pt idx="341">
                  <c:v>2570.3957829999999</c:v>
                </c:pt>
                <c:pt idx="342">
                  <c:v>2630.267992</c:v>
                </c:pt>
                <c:pt idx="343">
                  <c:v>2691.5348039999999</c:v>
                </c:pt>
                <c:pt idx="344">
                  <c:v>2754.2287030000002</c:v>
                </c:pt>
                <c:pt idx="345">
                  <c:v>2818.3829310000001</c:v>
                </c:pt>
                <c:pt idx="346">
                  <c:v>2884.0315030000002</c:v>
                </c:pt>
                <c:pt idx="347">
                  <c:v>2951.2092269999998</c:v>
                </c:pt>
                <c:pt idx="348">
                  <c:v>3019.95172</c:v>
                </c:pt>
                <c:pt idx="349">
                  <c:v>3090.2954329999998</c:v>
                </c:pt>
                <c:pt idx="350">
                  <c:v>3162.2776600000002</c:v>
                </c:pt>
                <c:pt idx="351">
                  <c:v>3235.936569</c:v>
                </c:pt>
                <c:pt idx="352">
                  <c:v>3311.3112150000002</c:v>
                </c:pt>
                <c:pt idx="353">
                  <c:v>3388.4415610000001</c:v>
                </c:pt>
                <c:pt idx="354">
                  <c:v>3467.3685049999999</c:v>
                </c:pt>
                <c:pt idx="355">
                  <c:v>3548.1338919999998</c:v>
                </c:pt>
                <c:pt idx="356">
                  <c:v>3630.7805480000002</c:v>
                </c:pt>
                <c:pt idx="357">
                  <c:v>3715.3522910000002</c:v>
                </c:pt>
                <c:pt idx="358">
                  <c:v>3801.893963</c:v>
                </c:pt>
                <c:pt idx="359">
                  <c:v>3890.45145</c:v>
                </c:pt>
                <c:pt idx="360">
                  <c:v>3981.0717060000002</c:v>
                </c:pt>
                <c:pt idx="361">
                  <c:v>4073.8027780000002</c:v>
                </c:pt>
                <c:pt idx="362">
                  <c:v>4168.693835</c:v>
                </c:pt>
                <c:pt idx="363">
                  <c:v>4265.7951880000001</c:v>
                </c:pt>
                <c:pt idx="364">
                  <c:v>4365.1583220000002</c:v>
                </c:pt>
                <c:pt idx="365">
                  <c:v>4466.8359220000002</c:v>
                </c:pt>
                <c:pt idx="366">
                  <c:v>4570.8818959999999</c:v>
                </c:pt>
                <c:pt idx="367">
                  <c:v>4677.3514130000003</c:v>
                </c:pt>
                <c:pt idx="368">
                  <c:v>4786.3009229999998</c:v>
                </c:pt>
                <c:pt idx="369">
                  <c:v>4897.7881939999997</c:v>
                </c:pt>
                <c:pt idx="370">
                  <c:v>5011.8723360000004</c:v>
                </c:pt>
                <c:pt idx="371">
                  <c:v>5128.61384</c:v>
                </c:pt>
                <c:pt idx="372">
                  <c:v>5248.0746019999997</c:v>
                </c:pt>
                <c:pt idx="373">
                  <c:v>5370.3179639999998</c:v>
                </c:pt>
                <c:pt idx="374">
                  <c:v>5495.4087390000004</c:v>
                </c:pt>
                <c:pt idx="375">
                  <c:v>5623.4132520000003</c:v>
                </c:pt>
                <c:pt idx="376">
                  <c:v>5754.3993730000002</c:v>
                </c:pt>
                <c:pt idx="377">
                  <c:v>5888.4365539999999</c:v>
                </c:pt>
                <c:pt idx="378">
                  <c:v>6025.5958609999998</c:v>
                </c:pt>
                <c:pt idx="379">
                  <c:v>6165.9500189999999</c:v>
                </c:pt>
                <c:pt idx="380">
                  <c:v>6309.573445</c:v>
                </c:pt>
                <c:pt idx="381">
                  <c:v>6456.5422900000003</c:v>
                </c:pt>
                <c:pt idx="382">
                  <c:v>6606.9344799999999</c:v>
                </c:pt>
                <c:pt idx="383">
                  <c:v>6760.8297540000003</c:v>
                </c:pt>
                <c:pt idx="384">
                  <c:v>6918.3097090000001</c:v>
                </c:pt>
                <c:pt idx="385">
                  <c:v>7079.4578439999996</c:v>
                </c:pt>
                <c:pt idx="386">
                  <c:v>7244.3596010000001</c:v>
                </c:pt>
                <c:pt idx="387">
                  <c:v>7413.1024129999996</c:v>
                </c:pt>
                <c:pt idx="388">
                  <c:v>7585.7757499999998</c:v>
                </c:pt>
                <c:pt idx="389">
                  <c:v>7762.4711660000003</c:v>
                </c:pt>
                <c:pt idx="390">
                  <c:v>7943.2823470000003</c:v>
                </c:pt>
                <c:pt idx="391">
                  <c:v>8128.3051619999997</c:v>
                </c:pt>
                <c:pt idx="392">
                  <c:v>8317.6377109999994</c:v>
                </c:pt>
                <c:pt idx="393">
                  <c:v>8511.3803819999994</c:v>
                </c:pt>
                <c:pt idx="394">
                  <c:v>8709.6358999999993</c:v>
                </c:pt>
                <c:pt idx="395">
                  <c:v>8912.5093809999998</c:v>
                </c:pt>
                <c:pt idx="396">
                  <c:v>9120.1083940000008</c:v>
                </c:pt>
                <c:pt idx="397">
                  <c:v>9332.5430080000006</c:v>
                </c:pt>
                <c:pt idx="398">
                  <c:v>9549.9258599999994</c:v>
                </c:pt>
                <c:pt idx="399">
                  <c:v>9772.3722099999995</c:v>
                </c:pt>
                <c:pt idx="400">
                  <c:v>10000</c:v>
                </c:pt>
                <c:pt idx="401">
                  <c:v>10232.92992</c:v>
                </c:pt>
                <c:pt idx="402">
                  <c:v>10471.28548</c:v>
                </c:pt>
                <c:pt idx="403">
                  <c:v>10715.19305</c:v>
                </c:pt>
                <c:pt idx="404">
                  <c:v>10964.78196</c:v>
                </c:pt>
                <c:pt idx="405">
                  <c:v>11220.18454</c:v>
                </c:pt>
                <c:pt idx="406">
                  <c:v>11481.53621</c:v>
                </c:pt>
                <c:pt idx="407">
                  <c:v>11748.975549999999</c:v>
                </c:pt>
                <c:pt idx="408">
                  <c:v>12022.64435</c:v>
                </c:pt>
                <c:pt idx="409">
                  <c:v>12302.68771</c:v>
                </c:pt>
                <c:pt idx="410">
                  <c:v>12589.25412</c:v>
                </c:pt>
                <c:pt idx="411">
                  <c:v>12882.49552</c:v>
                </c:pt>
                <c:pt idx="412">
                  <c:v>13182.56739</c:v>
                </c:pt>
                <c:pt idx="413">
                  <c:v>13489.62883</c:v>
                </c:pt>
                <c:pt idx="414">
                  <c:v>13803.842650000001</c:v>
                </c:pt>
                <c:pt idx="415">
                  <c:v>14125.37545</c:v>
                </c:pt>
                <c:pt idx="416">
                  <c:v>14454.397709999999</c:v>
                </c:pt>
                <c:pt idx="417">
                  <c:v>14791.08388</c:v>
                </c:pt>
                <c:pt idx="418">
                  <c:v>15135.61248</c:v>
                </c:pt>
                <c:pt idx="419">
                  <c:v>15488.16619</c:v>
                </c:pt>
                <c:pt idx="420">
                  <c:v>15848.931920000001</c:v>
                </c:pt>
                <c:pt idx="421">
                  <c:v>16218.10097</c:v>
                </c:pt>
                <c:pt idx="422">
                  <c:v>16595.869070000001</c:v>
                </c:pt>
                <c:pt idx="423">
                  <c:v>16982.436519999999</c:v>
                </c:pt>
                <c:pt idx="424">
                  <c:v>17378.008290000002</c:v>
                </c:pt>
                <c:pt idx="425">
                  <c:v>17782.794099999999</c:v>
                </c:pt>
                <c:pt idx="426">
                  <c:v>18197.008590000001</c:v>
                </c:pt>
                <c:pt idx="427">
                  <c:v>18620.871370000001</c:v>
                </c:pt>
                <c:pt idx="428">
                  <c:v>19054.607179999999</c:v>
                </c:pt>
                <c:pt idx="429">
                  <c:v>19498.446</c:v>
                </c:pt>
                <c:pt idx="430">
                  <c:v>19952.623149999999</c:v>
                </c:pt>
                <c:pt idx="431">
                  <c:v>20417.37945</c:v>
                </c:pt>
                <c:pt idx="432">
                  <c:v>20892.961309999999</c:v>
                </c:pt>
                <c:pt idx="433">
                  <c:v>21379.620900000002</c:v>
                </c:pt>
                <c:pt idx="434">
                  <c:v>21877.616239999999</c:v>
                </c:pt>
                <c:pt idx="435">
                  <c:v>22387.21139</c:v>
                </c:pt>
                <c:pt idx="436">
                  <c:v>22908.676530000001</c:v>
                </c:pt>
                <c:pt idx="437">
                  <c:v>23442.28815</c:v>
                </c:pt>
                <c:pt idx="438">
                  <c:v>23988.32919</c:v>
                </c:pt>
                <c:pt idx="439">
                  <c:v>24547.08916</c:v>
                </c:pt>
                <c:pt idx="440">
                  <c:v>25118.864320000001</c:v>
                </c:pt>
                <c:pt idx="441">
                  <c:v>25703.957829999999</c:v>
                </c:pt>
                <c:pt idx="442">
                  <c:v>26302.679919999999</c:v>
                </c:pt>
                <c:pt idx="443">
                  <c:v>26915.348040000001</c:v>
                </c:pt>
                <c:pt idx="444">
                  <c:v>27542.28703</c:v>
                </c:pt>
                <c:pt idx="445">
                  <c:v>28183.829310000001</c:v>
                </c:pt>
                <c:pt idx="446">
                  <c:v>28840.315030000002</c:v>
                </c:pt>
                <c:pt idx="447">
                  <c:v>29512.092270000001</c:v>
                </c:pt>
                <c:pt idx="448">
                  <c:v>30199.517199999998</c:v>
                </c:pt>
                <c:pt idx="449">
                  <c:v>30902.95433</c:v>
                </c:pt>
                <c:pt idx="450">
                  <c:v>31622.776600000001</c:v>
                </c:pt>
                <c:pt idx="451">
                  <c:v>32359.365689999999</c:v>
                </c:pt>
                <c:pt idx="452">
                  <c:v>33113.112150000001</c:v>
                </c:pt>
                <c:pt idx="453">
                  <c:v>33884.415609999996</c:v>
                </c:pt>
                <c:pt idx="454">
                  <c:v>34673.68505</c:v>
                </c:pt>
                <c:pt idx="455">
                  <c:v>35481.338920000002</c:v>
                </c:pt>
                <c:pt idx="456">
                  <c:v>36307.805480000003</c:v>
                </c:pt>
                <c:pt idx="457">
                  <c:v>37153.52291</c:v>
                </c:pt>
                <c:pt idx="458">
                  <c:v>38018.939630000001</c:v>
                </c:pt>
                <c:pt idx="459">
                  <c:v>38904.514499999997</c:v>
                </c:pt>
                <c:pt idx="460">
                  <c:v>39810.717060000003</c:v>
                </c:pt>
                <c:pt idx="461">
                  <c:v>40738.027779999997</c:v>
                </c:pt>
                <c:pt idx="462">
                  <c:v>41686.938349999997</c:v>
                </c:pt>
                <c:pt idx="463">
                  <c:v>42657.951880000001</c:v>
                </c:pt>
                <c:pt idx="464">
                  <c:v>43651.58322</c:v>
                </c:pt>
                <c:pt idx="465">
                  <c:v>44668.359219999998</c:v>
                </c:pt>
                <c:pt idx="466">
                  <c:v>45708.818959999997</c:v>
                </c:pt>
                <c:pt idx="467">
                  <c:v>46773.514130000003</c:v>
                </c:pt>
                <c:pt idx="468">
                  <c:v>47863.009230000003</c:v>
                </c:pt>
                <c:pt idx="469">
                  <c:v>48977.881939999999</c:v>
                </c:pt>
                <c:pt idx="470">
                  <c:v>50118.723360000004</c:v>
                </c:pt>
                <c:pt idx="471">
                  <c:v>51286.138400000003</c:v>
                </c:pt>
                <c:pt idx="472">
                  <c:v>52480.746019999999</c:v>
                </c:pt>
                <c:pt idx="473">
                  <c:v>53703.179640000002</c:v>
                </c:pt>
                <c:pt idx="474">
                  <c:v>54954.087390000001</c:v>
                </c:pt>
                <c:pt idx="475">
                  <c:v>56234.132519999999</c:v>
                </c:pt>
                <c:pt idx="476">
                  <c:v>57543.993730000002</c:v>
                </c:pt>
                <c:pt idx="477">
                  <c:v>58884.365539999999</c:v>
                </c:pt>
                <c:pt idx="478">
                  <c:v>60255.958610000001</c:v>
                </c:pt>
                <c:pt idx="479">
                  <c:v>61659.500189999999</c:v>
                </c:pt>
                <c:pt idx="480">
                  <c:v>63095.734450000004</c:v>
                </c:pt>
                <c:pt idx="481">
                  <c:v>64565.422899999998</c:v>
                </c:pt>
                <c:pt idx="482">
                  <c:v>66069.344800000006</c:v>
                </c:pt>
                <c:pt idx="483">
                  <c:v>67608.29754</c:v>
                </c:pt>
                <c:pt idx="484">
                  <c:v>69183.097089999996</c:v>
                </c:pt>
                <c:pt idx="485">
                  <c:v>70794.578439999997</c:v>
                </c:pt>
                <c:pt idx="486">
                  <c:v>72443.596009999994</c:v>
                </c:pt>
                <c:pt idx="487">
                  <c:v>74131.024130000005</c:v>
                </c:pt>
                <c:pt idx="488">
                  <c:v>75857.757500000007</c:v>
                </c:pt>
                <c:pt idx="489">
                  <c:v>77624.711660000001</c:v>
                </c:pt>
                <c:pt idx="490">
                  <c:v>79432.823470000003</c:v>
                </c:pt>
                <c:pt idx="491">
                  <c:v>81283.051619999998</c:v>
                </c:pt>
                <c:pt idx="492">
                  <c:v>83176.377110000001</c:v>
                </c:pt>
                <c:pt idx="493">
                  <c:v>85113.803820000001</c:v>
                </c:pt>
                <c:pt idx="494">
                  <c:v>87096.358999999997</c:v>
                </c:pt>
                <c:pt idx="495">
                  <c:v>89125.093810000006</c:v>
                </c:pt>
                <c:pt idx="496">
                  <c:v>91201.083939999997</c:v>
                </c:pt>
                <c:pt idx="497">
                  <c:v>93325.430080000006</c:v>
                </c:pt>
                <c:pt idx="498">
                  <c:v>95499.258600000001</c:v>
                </c:pt>
                <c:pt idx="499">
                  <c:v>97723.722099999999</c:v>
                </c:pt>
                <c:pt idx="500">
                  <c:v>100000</c:v>
                </c:pt>
              </c:numCache>
            </c:numRef>
          </c:xVal>
          <c:yVal>
            <c:numRef>
              <c:f>'Combined Sim + PCB'!$C$2:$C$502</c:f>
              <c:numCache>
                <c:formatCode>General</c:formatCode>
                <c:ptCount val="501"/>
                <c:pt idx="0">
                  <c:v>-24.825399999999998</c:v>
                </c:pt>
                <c:pt idx="1">
                  <c:v>-24.432500000000001</c:v>
                </c:pt>
                <c:pt idx="2">
                  <c:v>-24.04</c:v>
                </c:pt>
                <c:pt idx="3">
                  <c:v>-23.6478</c:v>
                </c:pt>
                <c:pt idx="4">
                  <c:v>-23.256</c:v>
                </c:pt>
                <c:pt idx="5">
                  <c:v>-22.8645</c:v>
                </c:pt>
                <c:pt idx="6">
                  <c:v>-22.473500000000001</c:v>
                </c:pt>
                <c:pt idx="7">
                  <c:v>-22.082899999999999</c:v>
                </c:pt>
                <c:pt idx="8">
                  <c:v>-21.692699999999999</c:v>
                </c:pt>
                <c:pt idx="9">
                  <c:v>-21.302900000000001</c:v>
                </c:pt>
                <c:pt idx="10">
                  <c:v>-20.913599999999999</c:v>
                </c:pt>
                <c:pt idx="11">
                  <c:v>-20.524799999999999</c:v>
                </c:pt>
                <c:pt idx="12">
                  <c:v>-20.136500000000002</c:v>
                </c:pt>
                <c:pt idx="13">
                  <c:v>-19.748799999999999</c:v>
                </c:pt>
                <c:pt idx="14">
                  <c:v>-19.361599999999999</c:v>
                </c:pt>
                <c:pt idx="15">
                  <c:v>-18.975000000000001</c:v>
                </c:pt>
                <c:pt idx="16">
                  <c:v>-18.588999999999999</c:v>
                </c:pt>
                <c:pt idx="17">
                  <c:v>-18.203600000000002</c:v>
                </c:pt>
                <c:pt idx="18">
                  <c:v>-17.818899999999999</c:v>
                </c:pt>
                <c:pt idx="19">
                  <c:v>-17.434899999999999</c:v>
                </c:pt>
                <c:pt idx="20">
                  <c:v>-17.051600000000001</c:v>
                </c:pt>
                <c:pt idx="21">
                  <c:v>-16.669</c:v>
                </c:pt>
                <c:pt idx="22">
                  <c:v>-16.287199999999999</c:v>
                </c:pt>
                <c:pt idx="23">
                  <c:v>-15.9063</c:v>
                </c:pt>
                <c:pt idx="24">
                  <c:v>-15.526199999999999</c:v>
                </c:pt>
                <c:pt idx="25">
                  <c:v>-15.1469</c:v>
                </c:pt>
                <c:pt idx="26">
                  <c:v>-14.768599999999999</c:v>
                </c:pt>
                <c:pt idx="27">
                  <c:v>-14.391299999999999</c:v>
                </c:pt>
                <c:pt idx="28">
                  <c:v>-14.015000000000001</c:v>
                </c:pt>
                <c:pt idx="29">
                  <c:v>-13.639699999999999</c:v>
                </c:pt>
                <c:pt idx="30">
                  <c:v>-13.265499999999999</c:v>
                </c:pt>
                <c:pt idx="31">
                  <c:v>-12.8924</c:v>
                </c:pt>
                <c:pt idx="32">
                  <c:v>-12.5205</c:v>
                </c:pt>
                <c:pt idx="33">
                  <c:v>-12.149800000000001</c:v>
                </c:pt>
                <c:pt idx="34">
                  <c:v>-11.7804</c:v>
                </c:pt>
                <c:pt idx="35">
                  <c:v>-11.4122</c:v>
                </c:pt>
                <c:pt idx="36">
                  <c:v>-11.045500000000001</c:v>
                </c:pt>
                <c:pt idx="37">
                  <c:v>-10.680199999999999</c:v>
                </c:pt>
                <c:pt idx="38">
                  <c:v>-10.3164</c:v>
                </c:pt>
                <c:pt idx="39">
                  <c:v>-9.9540699999999998</c:v>
                </c:pt>
                <c:pt idx="40">
                  <c:v>-9.5933600000000006</c:v>
                </c:pt>
                <c:pt idx="41">
                  <c:v>-9.2342999999999993</c:v>
                </c:pt>
                <c:pt idx="42">
                  <c:v>-8.8769500000000008</c:v>
                </c:pt>
                <c:pt idx="43">
                  <c:v>-8.5213699999999992</c:v>
                </c:pt>
                <c:pt idx="44">
                  <c:v>-8.1676300000000008</c:v>
                </c:pt>
                <c:pt idx="45">
                  <c:v>-7.8157899999999998</c:v>
                </c:pt>
                <c:pt idx="46">
                  <c:v>-7.4659199999999997</c:v>
                </c:pt>
                <c:pt idx="47">
                  <c:v>-7.1180899999999996</c:v>
                </c:pt>
                <c:pt idx="48">
                  <c:v>-6.7723599999999999</c:v>
                </c:pt>
                <c:pt idx="49">
                  <c:v>-6.4287999999999998</c:v>
                </c:pt>
                <c:pt idx="50">
                  <c:v>-6.0874899999999998</c:v>
                </c:pt>
                <c:pt idx="51">
                  <c:v>-5.7484999999999999</c:v>
                </c:pt>
                <c:pt idx="52">
                  <c:v>-5.4119099999999998</c:v>
                </c:pt>
                <c:pt idx="53">
                  <c:v>-5.0777799999999997</c:v>
                </c:pt>
                <c:pt idx="54">
                  <c:v>-4.7462</c:v>
                </c:pt>
                <c:pt idx="55">
                  <c:v>-4.4172399999999996</c:v>
                </c:pt>
                <c:pt idx="56">
                  <c:v>-4.0909800000000001</c:v>
                </c:pt>
                <c:pt idx="57">
                  <c:v>-3.76749</c:v>
                </c:pt>
                <c:pt idx="58">
                  <c:v>-3.44685</c:v>
                </c:pt>
                <c:pt idx="59">
                  <c:v>-3.1291500000000001</c:v>
                </c:pt>
                <c:pt idx="60">
                  <c:v>-2.8144499999999999</c:v>
                </c:pt>
                <c:pt idx="61">
                  <c:v>-2.50285</c:v>
                </c:pt>
                <c:pt idx="62">
                  <c:v>-2.19441</c:v>
                </c:pt>
                <c:pt idx="63">
                  <c:v>-1.8892100000000001</c:v>
                </c:pt>
                <c:pt idx="64">
                  <c:v>-1.58734</c:v>
                </c:pt>
                <c:pt idx="65">
                  <c:v>-1.2888599999999999</c:v>
                </c:pt>
                <c:pt idx="66">
                  <c:v>-0.99385299999999999</c:v>
                </c:pt>
                <c:pt idx="67">
                  <c:v>-0.70239600000000002</c:v>
                </c:pt>
                <c:pt idx="68">
                  <c:v>-0.41455900000000001</c:v>
                </c:pt>
                <c:pt idx="69">
                  <c:v>-0.130414</c:v>
                </c:pt>
                <c:pt idx="70">
                  <c:v>0.14996899999999999</c:v>
                </c:pt>
                <c:pt idx="71">
                  <c:v>0.42652400000000001</c:v>
                </c:pt>
                <c:pt idx="72">
                  <c:v>0.699183</c:v>
                </c:pt>
                <c:pt idx="73">
                  <c:v>0.96788399999999997</c:v>
                </c:pt>
                <c:pt idx="74">
                  <c:v>1.2325699999999999</c:v>
                </c:pt>
                <c:pt idx="75">
                  <c:v>1.4931700000000001</c:v>
                </c:pt>
                <c:pt idx="76">
                  <c:v>1.7496400000000001</c:v>
                </c:pt>
                <c:pt idx="77">
                  <c:v>2.0019300000000002</c:v>
                </c:pt>
                <c:pt idx="78">
                  <c:v>2.2499799999999999</c:v>
                </c:pt>
                <c:pt idx="79">
                  <c:v>2.49376</c:v>
                </c:pt>
                <c:pt idx="80">
                  <c:v>2.7332200000000002</c:v>
                </c:pt>
                <c:pt idx="81">
                  <c:v>2.9683199999999998</c:v>
                </c:pt>
                <c:pt idx="82">
                  <c:v>3.19902</c:v>
                </c:pt>
                <c:pt idx="83">
                  <c:v>3.4253100000000001</c:v>
                </c:pt>
                <c:pt idx="84">
                  <c:v>3.6471499999999999</c:v>
                </c:pt>
                <c:pt idx="85">
                  <c:v>3.8645100000000001</c:v>
                </c:pt>
                <c:pt idx="86">
                  <c:v>4.0773999999999999</c:v>
                </c:pt>
                <c:pt idx="87">
                  <c:v>4.2857799999999999</c:v>
                </c:pt>
                <c:pt idx="88">
                  <c:v>4.4896599999999998</c:v>
                </c:pt>
                <c:pt idx="89">
                  <c:v>4.6890200000000002</c:v>
                </c:pt>
                <c:pt idx="90">
                  <c:v>4.8838800000000004</c:v>
                </c:pt>
                <c:pt idx="91">
                  <c:v>5.07423</c:v>
                </c:pt>
                <c:pt idx="92">
                  <c:v>5.2600899999999999</c:v>
                </c:pt>
                <c:pt idx="93">
                  <c:v>5.4414600000000002</c:v>
                </c:pt>
                <c:pt idx="94">
                  <c:v>5.6183699999999996</c:v>
                </c:pt>
                <c:pt idx="95">
                  <c:v>5.7908400000000002</c:v>
                </c:pt>
                <c:pt idx="96">
                  <c:v>5.9588999999999999</c:v>
                </c:pt>
                <c:pt idx="97">
                  <c:v>6.1225699999999996</c:v>
                </c:pt>
                <c:pt idx="98">
                  <c:v>6.2818899999999998</c:v>
                </c:pt>
                <c:pt idx="99">
                  <c:v>6.4369100000000001</c:v>
                </c:pt>
                <c:pt idx="100">
                  <c:v>6.5876599999999996</c:v>
                </c:pt>
                <c:pt idx="101">
                  <c:v>6.7341899999999999</c:v>
                </c:pt>
                <c:pt idx="102">
                  <c:v>6.8765599999999996</c:v>
                </c:pt>
                <c:pt idx="103">
                  <c:v>7.0148000000000001</c:v>
                </c:pt>
                <c:pt idx="104">
                  <c:v>7.1489799999999999</c:v>
                </c:pt>
                <c:pt idx="105">
                  <c:v>7.2791600000000001</c:v>
                </c:pt>
                <c:pt idx="106">
                  <c:v>7.4054000000000002</c:v>
                </c:pt>
                <c:pt idx="107">
                  <c:v>7.5277700000000003</c:v>
                </c:pt>
                <c:pt idx="108">
                  <c:v>7.6463200000000002</c:v>
                </c:pt>
                <c:pt idx="109">
                  <c:v>7.7611299999999996</c:v>
                </c:pt>
                <c:pt idx="110">
                  <c:v>7.8722700000000003</c:v>
                </c:pt>
                <c:pt idx="111">
                  <c:v>7.9798099999999996</c:v>
                </c:pt>
                <c:pt idx="112">
                  <c:v>8.0838199999999993</c:v>
                </c:pt>
                <c:pt idx="113">
                  <c:v>8.1843800000000009</c:v>
                </c:pt>
                <c:pt idx="114">
                  <c:v>8.2815600000000007</c:v>
                </c:pt>
                <c:pt idx="115">
                  <c:v>8.3754500000000007</c:v>
                </c:pt>
                <c:pt idx="116">
                  <c:v>8.4661100000000005</c:v>
                </c:pt>
                <c:pt idx="117">
                  <c:v>8.5536300000000001</c:v>
                </c:pt>
                <c:pt idx="118">
                  <c:v>8.6380800000000004</c:v>
                </c:pt>
                <c:pt idx="119">
                  <c:v>8.7195400000000003</c:v>
                </c:pt>
                <c:pt idx="120">
                  <c:v>8.7980999999999998</c:v>
                </c:pt>
                <c:pt idx="121">
                  <c:v>8.8738200000000003</c:v>
                </c:pt>
                <c:pt idx="122">
                  <c:v>8.94679</c:v>
                </c:pt>
                <c:pt idx="123">
                  <c:v>9.01708</c:v>
                </c:pt>
                <c:pt idx="124">
                  <c:v>9.0847800000000003</c:v>
                </c:pt>
                <c:pt idx="125">
                  <c:v>9.1499500000000005</c:v>
                </c:pt>
                <c:pt idx="126">
                  <c:v>9.2126800000000006</c:v>
                </c:pt>
                <c:pt idx="127">
                  <c:v>9.2730300000000003</c:v>
                </c:pt>
                <c:pt idx="128">
                  <c:v>9.33108</c:v>
                </c:pt>
                <c:pt idx="129">
                  <c:v>9.3869100000000003</c:v>
                </c:pt>
                <c:pt idx="130">
                  <c:v>9.4405800000000006</c:v>
                </c:pt>
                <c:pt idx="131">
                  <c:v>9.4921600000000002</c:v>
                </c:pt>
                <c:pt idx="132">
                  <c:v>9.5417299999999994</c:v>
                </c:pt>
                <c:pt idx="133">
                  <c:v>9.5893499999999996</c:v>
                </c:pt>
                <c:pt idx="134">
                  <c:v>9.6350899999999999</c:v>
                </c:pt>
                <c:pt idx="135">
                  <c:v>9.6790099999999999</c:v>
                </c:pt>
                <c:pt idx="136">
                  <c:v>9.7211700000000008</c:v>
                </c:pt>
                <c:pt idx="137">
                  <c:v>9.7616399999999999</c:v>
                </c:pt>
                <c:pt idx="138">
                  <c:v>9.8004700000000007</c:v>
                </c:pt>
                <c:pt idx="139">
                  <c:v>9.8377400000000002</c:v>
                </c:pt>
                <c:pt idx="140">
                  <c:v>9.8734800000000007</c:v>
                </c:pt>
                <c:pt idx="141">
                  <c:v>9.9077599999999997</c:v>
                </c:pt>
                <c:pt idx="142">
                  <c:v>9.9406400000000001</c:v>
                </c:pt>
                <c:pt idx="143">
                  <c:v>9.9721600000000006</c:v>
                </c:pt>
                <c:pt idx="144">
                  <c:v>10.0024</c:v>
                </c:pt>
                <c:pt idx="145">
                  <c:v>10.0313</c:v>
                </c:pt>
                <c:pt idx="146">
                  <c:v>10.059100000000001</c:v>
                </c:pt>
                <c:pt idx="147">
                  <c:v>10.085699999999999</c:v>
                </c:pt>
                <c:pt idx="148">
                  <c:v>10.1112</c:v>
                </c:pt>
                <c:pt idx="149">
                  <c:v>10.1356</c:v>
                </c:pt>
                <c:pt idx="150">
                  <c:v>10.158899999999999</c:v>
                </c:pt>
                <c:pt idx="151">
                  <c:v>10.1813</c:v>
                </c:pt>
                <c:pt idx="152">
                  <c:v>10.2028</c:v>
                </c:pt>
                <c:pt idx="153">
                  <c:v>10.2233</c:v>
                </c:pt>
                <c:pt idx="154">
                  <c:v>10.242900000000001</c:v>
                </c:pt>
                <c:pt idx="155">
                  <c:v>10.261799999999999</c:v>
                </c:pt>
                <c:pt idx="156">
                  <c:v>10.2798</c:v>
                </c:pt>
                <c:pt idx="157">
                  <c:v>10.297000000000001</c:v>
                </c:pt>
                <c:pt idx="158">
                  <c:v>10.313499999999999</c:v>
                </c:pt>
                <c:pt idx="159">
                  <c:v>10.3293</c:v>
                </c:pt>
                <c:pt idx="160">
                  <c:v>10.3444</c:v>
                </c:pt>
                <c:pt idx="161">
                  <c:v>10.3588</c:v>
                </c:pt>
                <c:pt idx="162">
                  <c:v>10.3726</c:v>
                </c:pt>
                <c:pt idx="163">
                  <c:v>10.3858</c:v>
                </c:pt>
                <c:pt idx="164">
                  <c:v>10.3985</c:v>
                </c:pt>
                <c:pt idx="165">
                  <c:v>10.410600000000001</c:v>
                </c:pt>
                <c:pt idx="166">
                  <c:v>10.4221</c:v>
                </c:pt>
                <c:pt idx="167">
                  <c:v>10.433199999999999</c:v>
                </c:pt>
                <c:pt idx="168">
                  <c:v>10.4438</c:v>
                </c:pt>
                <c:pt idx="169">
                  <c:v>10.453900000000001</c:v>
                </c:pt>
                <c:pt idx="170">
                  <c:v>10.4636</c:v>
                </c:pt>
                <c:pt idx="171">
                  <c:v>10.472799999999999</c:v>
                </c:pt>
                <c:pt idx="172">
                  <c:v>10.4817</c:v>
                </c:pt>
                <c:pt idx="173">
                  <c:v>10.4901</c:v>
                </c:pt>
                <c:pt idx="174">
                  <c:v>10.498200000000001</c:v>
                </c:pt>
                <c:pt idx="175">
                  <c:v>10.5059</c:v>
                </c:pt>
                <c:pt idx="176">
                  <c:v>10.513299999999999</c:v>
                </c:pt>
                <c:pt idx="177">
                  <c:v>10.520300000000001</c:v>
                </c:pt>
                <c:pt idx="178">
                  <c:v>10.527100000000001</c:v>
                </c:pt>
                <c:pt idx="179">
                  <c:v>10.5335</c:v>
                </c:pt>
                <c:pt idx="180">
                  <c:v>10.5397</c:v>
                </c:pt>
                <c:pt idx="181">
                  <c:v>10.5456</c:v>
                </c:pt>
                <c:pt idx="182">
                  <c:v>10.5512</c:v>
                </c:pt>
                <c:pt idx="183">
                  <c:v>10.5566</c:v>
                </c:pt>
                <c:pt idx="184">
                  <c:v>10.5617</c:v>
                </c:pt>
                <c:pt idx="185">
                  <c:v>10.566599999999999</c:v>
                </c:pt>
                <c:pt idx="186">
                  <c:v>10.571300000000001</c:v>
                </c:pt>
                <c:pt idx="187">
                  <c:v>10.575799999999999</c:v>
                </c:pt>
                <c:pt idx="188">
                  <c:v>10.5801</c:v>
                </c:pt>
                <c:pt idx="189">
                  <c:v>10.584199999999999</c:v>
                </c:pt>
                <c:pt idx="190">
                  <c:v>10.588100000000001</c:v>
                </c:pt>
                <c:pt idx="191">
                  <c:v>10.591799999999999</c:v>
                </c:pt>
                <c:pt idx="192">
                  <c:v>10.5954</c:v>
                </c:pt>
                <c:pt idx="193">
                  <c:v>10.598800000000001</c:v>
                </c:pt>
                <c:pt idx="194">
                  <c:v>10.6021</c:v>
                </c:pt>
                <c:pt idx="195">
                  <c:v>10.6052</c:v>
                </c:pt>
                <c:pt idx="196">
                  <c:v>10.6081</c:v>
                </c:pt>
                <c:pt idx="197">
                  <c:v>10.611000000000001</c:v>
                </c:pt>
                <c:pt idx="198">
                  <c:v>10.6137</c:v>
                </c:pt>
                <c:pt idx="199">
                  <c:v>10.616300000000001</c:v>
                </c:pt>
                <c:pt idx="200">
                  <c:v>10.6188</c:v>
                </c:pt>
                <c:pt idx="201">
                  <c:v>10.6211</c:v>
                </c:pt>
                <c:pt idx="202">
                  <c:v>10.6234</c:v>
                </c:pt>
                <c:pt idx="203">
                  <c:v>10.625500000000001</c:v>
                </c:pt>
                <c:pt idx="204">
                  <c:v>10.627599999999999</c:v>
                </c:pt>
                <c:pt idx="205">
                  <c:v>10.6296</c:v>
                </c:pt>
                <c:pt idx="206">
                  <c:v>10.631399999999999</c:v>
                </c:pt>
                <c:pt idx="207">
                  <c:v>10.6332</c:v>
                </c:pt>
                <c:pt idx="208">
                  <c:v>10.635</c:v>
                </c:pt>
                <c:pt idx="209">
                  <c:v>10.6366</c:v>
                </c:pt>
                <c:pt idx="210">
                  <c:v>10.638199999999999</c:v>
                </c:pt>
                <c:pt idx="211">
                  <c:v>10.6396</c:v>
                </c:pt>
                <c:pt idx="212">
                  <c:v>10.6411</c:v>
                </c:pt>
                <c:pt idx="213">
                  <c:v>10.6424</c:v>
                </c:pt>
                <c:pt idx="214">
                  <c:v>10.643700000000001</c:v>
                </c:pt>
                <c:pt idx="215">
                  <c:v>10.645</c:v>
                </c:pt>
                <c:pt idx="216">
                  <c:v>10.6462</c:v>
                </c:pt>
                <c:pt idx="217">
                  <c:v>10.6473</c:v>
                </c:pt>
                <c:pt idx="218">
                  <c:v>10.648400000000001</c:v>
                </c:pt>
                <c:pt idx="219">
                  <c:v>10.6494</c:v>
                </c:pt>
                <c:pt idx="220">
                  <c:v>10.650399999999999</c:v>
                </c:pt>
                <c:pt idx="221">
                  <c:v>10.651300000000001</c:v>
                </c:pt>
                <c:pt idx="222">
                  <c:v>10.652200000000001</c:v>
                </c:pt>
                <c:pt idx="223">
                  <c:v>10.6531</c:v>
                </c:pt>
                <c:pt idx="224">
                  <c:v>10.6539</c:v>
                </c:pt>
                <c:pt idx="225">
                  <c:v>10.6547</c:v>
                </c:pt>
                <c:pt idx="226">
                  <c:v>10.6554</c:v>
                </c:pt>
                <c:pt idx="227">
                  <c:v>10.6561</c:v>
                </c:pt>
                <c:pt idx="228">
                  <c:v>10.6568</c:v>
                </c:pt>
                <c:pt idx="229">
                  <c:v>10.657400000000001</c:v>
                </c:pt>
                <c:pt idx="230">
                  <c:v>10.658099999999999</c:v>
                </c:pt>
                <c:pt idx="231">
                  <c:v>10.6586</c:v>
                </c:pt>
                <c:pt idx="232">
                  <c:v>10.6592</c:v>
                </c:pt>
                <c:pt idx="233">
                  <c:v>10.659700000000001</c:v>
                </c:pt>
                <c:pt idx="234">
                  <c:v>10.6602</c:v>
                </c:pt>
                <c:pt idx="235">
                  <c:v>10.6607</c:v>
                </c:pt>
                <c:pt idx="236">
                  <c:v>10.661199999999999</c:v>
                </c:pt>
                <c:pt idx="237">
                  <c:v>10.6616</c:v>
                </c:pt>
                <c:pt idx="238">
                  <c:v>10.662100000000001</c:v>
                </c:pt>
                <c:pt idx="239">
                  <c:v>10.6625</c:v>
                </c:pt>
                <c:pt idx="240">
                  <c:v>10.662800000000001</c:v>
                </c:pt>
                <c:pt idx="241">
                  <c:v>10.6632</c:v>
                </c:pt>
                <c:pt idx="242">
                  <c:v>10.663500000000001</c:v>
                </c:pt>
                <c:pt idx="243">
                  <c:v>10.6639</c:v>
                </c:pt>
                <c:pt idx="244">
                  <c:v>10.664199999999999</c:v>
                </c:pt>
                <c:pt idx="245">
                  <c:v>10.6645</c:v>
                </c:pt>
                <c:pt idx="246">
                  <c:v>10.6647</c:v>
                </c:pt>
                <c:pt idx="247">
                  <c:v>10.664999999999999</c:v>
                </c:pt>
                <c:pt idx="248">
                  <c:v>10.6653</c:v>
                </c:pt>
                <c:pt idx="249">
                  <c:v>10.6655</c:v>
                </c:pt>
                <c:pt idx="250">
                  <c:v>10.665699999999999</c:v>
                </c:pt>
                <c:pt idx="251">
                  <c:v>10.665900000000001</c:v>
                </c:pt>
                <c:pt idx="252">
                  <c:v>10.6661</c:v>
                </c:pt>
                <c:pt idx="253">
                  <c:v>10.6663</c:v>
                </c:pt>
                <c:pt idx="254">
                  <c:v>10.666499999999999</c:v>
                </c:pt>
                <c:pt idx="255">
                  <c:v>10.666700000000001</c:v>
                </c:pt>
                <c:pt idx="256">
                  <c:v>10.6668</c:v>
                </c:pt>
                <c:pt idx="257">
                  <c:v>10.667</c:v>
                </c:pt>
                <c:pt idx="258">
                  <c:v>10.6671</c:v>
                </c:pt>
                <c:pt idx="259">
                  <c:v>10.667199999999999</c:v>
                </c:pt>
                <c:pt idx="260">
                  <c:v>10.667299999999999</c:v>
                </c:pt>
                <c:pt idx="261">
                  <c:v>10.667400000000001</c:v>
                </c:pt>
                <c:pt idx="262">
                  <c:v>10.6675</c:v>
                </c:pt>
                <c:pt idx="263">
                  <c:v>10.6676</c:v>
                </c:pt>
                <c:pt idx="264">
                  <c:v>10.6677</c:v>
                </c:pt>
                <c:pt idx="265">
                  <c:v>10.6678</c:v>
                </c:pt>
                <c:pt idx="266">
                  <c:v>10.667899999999999</c:v>
                </c:pt>
                <c:pt idx="267">
                  <c:v>10.667899999999999</c:v>
                </c:pt>
                <c:pt idx="268">
                  <c:v>10.667999999999999</c:v>
                </c:pt>
                <c:pt idx="269">
                  <c:v>10.667999999999999</c:v>
                </c:pt>
                <c:pt idx="270">
                  <c:v>10.667999999999999</c:v>
                </c:pt>
                <c:pt idx="271">
                  <c:v>10.668100000000001</c:v>
                </c:pt>
                <c:pt idx="272">
                  <c:v>10.668100000000001</c:v>
                </c:pt>
                <c:pt idx="273">
                  <c:v>10.668100000000001</c:v>
                </c:pt>
                <c:pt idx="274">
                  <c:v>10.668100000000001</c:v>
                </c:pt>
                <c:pt idx="275">
                  <c:v>10.668100000000001</c:v>
                </c:pt>
                <c:pt idx="276">
                  <c:v>10.668100000000001</c:v>
                </c:pt>
                <c:pt idx="277">
                  <c:v>10.668100000000001</c:v>
                </c:pt>
                <c:pt idx="278">
                  <c:v>10.668100000000001</c:v>
                </c:pt>
                <c:pt idx="279">
                  <c:v>10.667999999999999</c:v>
                </c:pt>
                <c:pt idx="280">
                  <c:v>10.667999999999999</c:v>
                </c:pt>
                <c:pt idx="281">
                  <c:v>10.667899999999999</c:v>
                </c:pt>
                <c:pt idx="282">
                  <c:v>10.667899999999999</c:v>
                </c:pt>
                <c:pt idx="283">
                  <c:v>10.6678</c:v>
                </c:pt>
                <c:pt idx="284">
                  <c:v>10.6678</c:v>
                </c:pt>
                <c:pt idx="285">
                  <c:v>10.6677</c:v>
                </c:pt>
                <c:pt idx="286">
                  <c:v>10.6676</c:v>
                </c:pt>
                <c:pt idx="287">
                  <c:v>10.6675</c:v>
                </c:pt>
                <c:pt idx="288">
                  <c:v>10.667400000000001</c:v>
                </c:pt>
                <c:pt idx="289">
                  <c:v>10.667299999999999</c:v>
                </c:pt>
                <c:pt idx="290">
                  <c:v>10.667199999999999</c:v>
                </c:pt>
                <c:pt idx="291">
                  <c:v>10.667</c:v>
                </c:pt>
                <c:pt idx="292">
                  <c:v>10.6669</c:v>
                </c:pt>
                <c:pt idx="293">
                  <c:v>10.6668</c:v>
                </c:pt>
                <c:pt idx="294">
                  <c:v>10.666600000000001</c:v>
                </c:pt>
                <c:pt idx="295">
                  <c:v>10.666399999999999</c:v>
                </c:pt>
                <c:pt idx="296">
                  <c:v>10.6662</c:v>
                </c:pt>
                <c:pt idx="297">
                  <c:v>10.6661</c:v>
                </c:pt>
                <c:pt idx="298">
                  <c:v>10.665800000000001</c:v>
                </c:pt>
                <c:pt idx="299">
                  <c:v>10.6656</c:v>
                </c:pt>
                <c:pt idx="300">
                  <c:v>10.6654</c:v>
                </c:pt>
                <c:pt idx="301">
                  <c:v>10.6652</c:v>
                </c:pt>
                <c:pt idx="302">
                  <c:v>10.664899999999999</c:v>
                </c:pt>
                <c:pt idx="303">
                  <c:v>10.6646</c:v>
                </c:pt>
                <c:pt idx="304">
                  <c:v>10.664400000000001</c:v>
                </c:pt>
                <c:pt idx="305">
                  <c:v>10.664099999999999</c:v>
                </c:pt>
                <c:pt idx="306">
                  <c:v>10.6637</c:v>
                </c:pt>
                <c:pt idx="307">
                  <c:v>10.663399999999999</c:v>
                </c:pt>
                <c:pt idx="308">
                  <c:v>10.6631</c:v>
                </c:pt>
                <c:pt idx="309">
                  <c:v>10.662699999999999</c:v>
                </c:pt>
                <c:pt idx="310">
                  <c:v>10.6623</c:v>
                </c:pt>
                <c:pt idx="311">
                  <c:v>10.661899999999999</c:v>
                </c:pt>
                <c:pt idx="312">
                  <c:v>10.6615</c:v>
                </c:pt>
                <c:pt idx="313">
                  <c:v>10.661</c:v>
                </c:pt>
                <c:pt idx="314">
                  <c:v>10.660600000000001</c:v>
                </c:pt>
                <c:pt idx="315">
                  <c:v>10.6601</c:v>
                </c:pt>
                <c:pt idx="316">
                  <c:v>10.659599999999999</c:v>
                </c:pt>
                <c:pt idx="317">
                  <c:v>10.659000000000001</c:v>
                </c:pt>
                <c:pt idx="318">
                  <c:v>10.6584</c:v>
                </c:pt>
                <c:pt idx="319">
                  <c:v>10.6578</c:v>
                </c:pt>
                <c:pt idx="320">
                  <c:v>10.6572</c:v>
                </c:pt>
                <c:pt idx="321">
                  <c:v>10.656599999999999</c:v>
                </c:pt>
                <c:pt idx="322">
                  <c:v>10.655900000000001</c:v>
                </c:pt>
                <c:pt idx="323">
                  <c:v>10.655200000000001</c:v>
                </c:pt>
                <c:pt idx="324">
                  <c:v>10.654400000000001</c:v>
                </c:pt>
                <c:pt idx="325">
                  <c:v>10.653600000000001</c:v>
                </c:pt>
                <c:pt idx="326">
                  <c:v>10.652799999999999</c:v>
                </c:pt>
                <c:pt idx="327">
                  <c:v>10.651899999999999</c:v>
                </c:pt>
                <c:pt idx="328">
                  <c:v>10.651</c:v>
                </c:pt>
                <c:pt idx="329">
                  <c:v>10.65</c:v>
                </c:pt>
                <c:pt idx="330">
                  <c:v>10.648999999999999</c:v>
                </c:pt>
                <c:pt idx="331">
                  <c:v>10.648</c:v>
                </c:pt>
                <c:pt idx="332">
                  <c:v>10.6469</c:v>
                </c:pt>
                <c:pt idx="333">
                  <c:v>10.645799999999999</c:v>
                </c:pt>
                <c:pt idx="334">
                  <c:v>10.644600000000001</c:v>
                </c:pt>
                <c:pt idx="335">
                  <c:v>10.6433</c:v>
                </c:pt>
                <c:pt idx="336">
                  <c:v>10.641999999999999</c:v>
                </c:pt>
                <c:pt idx="337">
                  <c:v>10.640599999999999</c:v>
                </c:pt>
                <c:pt idx="338">
                  <c:v>10.639200000000001</c:v>
                </c:pt>
                <c:pt idx="339">
                  <c:v>10.637600000000001</c:v>
                </c:pt>
                <c:pt idx="340">
                  <c:v>10.636100000000001</c:v>
                </c:pt>
                <c:pt idx="341">
                  <c:v>10.634399999999999</c:v>
                </c:pt>
                <c:pt idx="342">
                  <c:v>10.6327</c:v>
                </c:pt>
                <c:pt idx="343">
                  <c:v>10.630800000000001</c:v>
                </c:pt>
                <c:pt idx="344">
                  <c:v>10.6289</c:v>
                </c:pt>
                <c:pt idx="345">
                  <c:v>10.626899999999999</c:v>
                </c:pt>
                <c:pt idx="346">
                  <c:v>10.6249</c:v>
                </c:pt>
                <c:pt idx="347">
                  <c:v>10.6227</c:v>
                </c:pt>
                <c:pt idx="348">
                  <c:v>10.6204</c:v>
                </c:pt>
                <c:pt idx="349">
                  <c:v>10.618</c:v>
                </c:pt>
                <c:pt idx="350">
                  <c:v>10.615500000000001</c:v>
                </c:pt>
                <c:pt idx="351">
                  <c:v>10.6129</c:v>
                </c:pt>
                <c:pt idx="352">
                  <c:v>10.610099999999999</c:v>
                </c:pt>
                <c:pt idx="353">
                  <c:v>10.6073</c:v>
                </c:pt>
                <c:pt idx="354">
                  <c:v>10.6043</c:v>
                </c:pt>
                <c:pt idx="355">
                  <c:v>10.601100000000001</c:v>
                </c:pt>
                <c:pt idx="356">
                  <c:v>10.597799999999999</c:v>
                </c:pt>
                <c:pt idx="357">
                  <c:v>10.5944</c:v>
                </c:pt>
                <c:pt idx="358">
                  <c:v>10.5908</c:v>
                </c:pt>
                <c:pt idx="359">
                  <c:v>10.587</c:v>
                </c:pt>
                <c:pt idx="360">
                  <c:v>10.5831</c:v>
                </c:pt>
                <c:pt idx="361">
                  <c:v>10.579000000000001</c:v>
                </c:pt>
                <c:pt idx="362">
                  <c:v>10.5746</c:v>
                </c:pt>
                <c:pt idx="363">
                  <c:v>10.5701</c:v>
                </c:pt>
                <c:pt idx="364">
                  <c:v>10.5654</c:v>
                </c:pt>
                <c:pt idx="365">
                  <c:v>10.560499999999999</c:v>
                </c:pt>
                <c:pt idx="366">
                  <c:v>10.555300000000001</c:v>
                </c:pt>
                <c:pt idx="367">
                  <c:v>10.549899999999999</c:v>
                </c:pt>
                <c:pt idx="368">
                  <c:v>10.5443</c:v>
                </c:pt>
                <c:pt idx="369">
                  <c:v>10.5383</c:v>
                </c:pt>
                <c:pt idx="370">
                  <c:v>10.5322</c:v>
                </c:pt>
                <c:pt idx="371">
                  <c:v>10.525700000000001</c:v>
                </c:pt>
                <c:pt idx="372">
                  <c:v>10.519</c:v>
                </c:pt>
                <c:pt idx="373">
                  <c:v>10.511900000000001</c:v>
                </c:pt>
                <c:pt idx="374">
                  <c:v>10.5045</c:v>
                </c:pt>
                <c:pt idx="375">
                  <c:v>10.4968</c:v>
                </c:pt>
                <c:pt idx="376">
                  <c:v>10.4887</c:v>
                </c:pt>
                <c:pt idx="377">
                  <c:v>10.4803</c:v>
                </c:pt>
                <c:pt idx="378">
                  <c:v>10.471500000000001</c:v>
                </c:pt>
                <c:pt idx="379">
                  <c:v>10.462300000000001</c:v>
                </c:pt>
                <c:pt idx="380">
                  <c:v>10.4527</c:v>
                </c:pt>
                <c:pt idx="381">
                  <c:v>10.442600000000001</c:v>
                </c:pt>
                <c:pt idx="382">
                  <c:v>10.4321</c:v>
                </c:pt>
                <c:pt idx="383">
                  <c:v>10.421200000000001</c:v>
                </c:pt>
                <c:pt idx="384">
                  <c:v>10.409700000000001</c:v>
                </c:pt>
                <c:pt idx="385">
                  <c:v>10.3978</c:v>
                </c:pt>
                <c:pt idx="386">
                  <c:v>10.385300000000001</c:v>
                </c:pt>
                <c:pt idx="387">
                  <c:v>10.372199999999999</c:v>
                </c:pt>
                <c:pt idx="388">
                  <c:v>10.358599999999999</c:v>
                </c:pt>
                <c:pt idx="389">
                  <c:v>10.3444</c:v>
                </c:pt>
                <c:pt idx="390">
                  <c:v>10.329599999999999</c:v>
                </c:pt>
                <c:pt idx="391">
                  <c:v>10.3141</c:v>
                </c:pt>
                <c:pt idx="392">
                  <c:v>10.298</c:v>
                </c:pt>
                <c:pt idx="393">
                  <c:v>10.2812</c:v>
                </c:pt>
                <c:pt idx="394">
                  <c:v>10.2636</c:v>
                </c:pt>
                <c:pt idx="395">
                  <c:v>10.2453</c:v>
                </c:pt>
                <c:pt idx="396">
                  <c:v>10.2262</c:v>
                </c:pt>
                <c:pt idx="397">
                  <c:v>10.206300000000001</c:v>
                </c:pt>
                <c:pt idx="398">
                  <c:v>10.185499999999999</c:v>
                </c:pt>
                <c:pt idx="399">
                  <c:v>10.1639</c:v>
                </c:pt>
                <c:pt idx="400">
                  <c:v>10.141400000000001</c:v>
                </c:pt>
                <c:pt idx="401">
                  <c:v>10.117900000000001</c:v>
                </c:pt>
                <c:pt idx="402">
                  <c:v>10.093500000000001</c:v>
                </c:pt>
                <c:pt idx="403">
                  <c:v>10.068099999999999</c:v>
                </c:pt>
                <c:pt idx="404">
                  <c:v>10.041600000000001</c:v>
                </c:pt>
                <c:pt idx="405">
                  <c:v>10.014099999999999</c:v>
                </c:pt>
                <c:pt idx="406">
                  <c:v>9.9853900000000007</c:v>
                </c:pt>
                <c:pt idx="407">
                  <c:v>9.9555799999999994</c:v>
                </c:pt>
                <c:pt idx="408">
                  <c:v>9.9245800000000006</c:v>
                </c:pt>
                <c:pt idx="409">
                  <c:v>9.89236</c:v>
                </c:pt>
                <c:pt idx="410">
                  <c:v>9.8588699999999996</c:v>
                </c:pt>
                <c:pt idx="411">
                  <c:v>9.8240800000000004</c:v>
                </c:pt>
                <c:pt idx="412">
                  <c:v>9.7879400000000008</c:v>
                </c:pt>
                <c:pt idx="413">
                  <c:v>9.7504200000000001</c:v>
                </c:pt>
                <c:pt idx="414">
                  <c:v>9.7114700000000003</c:v>
                </c:pt>
                <c:pt idx="415">
                  <c:v>9.6710600000000007</c:v>
                </c:pt>
                <c:pt idx="416">
                  <c:v>9.6291499999999992</c:v>
                </c:pt>
                <c:pt idx="417">
                  <c:v>9.5856899999999996</c:v>
                </c:pt>
                <c:pt idx="418">
                  <c:v>9.5406399999999998</c:v>
                </c:pt>
                <c:pt idx="419">
                  <c:v>9.4939599999999995</c:v>
                </c:pt>
                <c:pt idx="420">
                  <c:v>9.4456199999999999</c:v>
                </c:pt>
                <c:pt idx="421">
                  <c:v>9.3955699999999993</c:v>
                </c:pt>
                <c:pt idx="422">
                  <c:v>9.3437699999999992</c:v>
                </c:pt>
                <c:pt idx="423">
                  <c:v>9.2901799999999994</c:v>
                </c:pt>
                <c:pt idx="424">
                  <c:v>9.2347599999999996</c:v>
                </c:pt>
                <c:pt idx="425">
                  <c:v>9.1774799999999992</c:v>
                </c:pt>
                <c:pt idx="426">
                  <c:v>9.1182999999999996</c:v>
                </c:pt>
                <c:pt idx="427">
                  <c:v>9.0571800000000007</c:v>
                </c:pt>
                <c:pt idx="428">
                  <c:v>8.9940899999999999</c:v>
                </c:pt>
                <c:pt idx="429">
                  <c:v>8.9290000000000003</c:v>
                </c:pt>
                <c:pt idx="430">
                  <c:v>8.8618600000000001</c:v>
                </c:pt>
                <c:pt idx="431">
                  <c:v>8.7926599999999997</c:v>
                </c:pt>
                <c:pt idx="432">
                  <c:v>8.7213499999999993</c:v>
                </c:pt>
                <c:pt idx="433">
                  <c:v>8.6479199999999992</c:v>
                </c:pt>
                <c:pt idx="434">
                  <c:v>8.5723400000000005</c:v>
                </c:pt>
                <c:pt idx="435">
                  <c:v>8.4945699999999995</c:v>
                </c:pt>
                <c:pt idx="436">
                  <c:v>8.4146099999999997</c:v>
                </c:pt>
                <c:pt idx="437">
                  <c:v>8.3324200000000008</c:v>
                </c:pt>
                <c:pt idx="438">
                  <c:v>8.2479999999999993</c:v>
                </c:pt>
                <c:pt idx="439">
                  <c:v>8.1613100000000003</c:v>
                </c:pt>
                <c:pt idx="440">
                  <c:v>8.0723599999999998</c:v>
                </c:pt>
                <c:pt idx="441">
                  <c:v>7.9811300000000003</c:v>
                </c:pt>
                <c:pt idx="442">
                  <c:v>7.8876099999999996</c:v>
                </c:pt>
                <c:pt idx="443">
                  <c:v>7.7917899999999998</c:v>
                </c:pt>
                <c:pt idx="444">
                  <c:v>7.6936600000000004</c:v>
                </c:pt>
                <c:pt idx="445">
                  <c:v>7.5932399999999998</c:v>
                </c:pt>
                <c:pt idx="446">
                  <c:v>7.4904999999999999</c:v>
                </c:pt>
                <c:pt idx="447">
                  <c:v>7.3854699999999998</c:v>
                </c:pt>
                <c:pt idx="448">
                  <c:v>7.2781399999999996</c:v>
                </c:pt>
                <c:pt idx="449">
                  <c:v>7.16852</c:v>
                </c:pt>
                <c:pt idx="450">
                  <c:v>7.0566199999999997</c:v>
                </c:pt>
                <c:pt idx="451">
                  <c:v>6.9424599999999996</c:v>
                </c:pt>
                <c:pt idx="452">
                  <c:v>6.8260399999999999</c:v>
                </c:pt>
                <c:pt idx="453">
                  <c:v>6.7073900000000002</c:v>
                </c:pt>
                <c:pt idx="454">
                  <c:v>6.5865200000000002</c:v>
                </c:pt>
                <c:pt idx="455">
                  <c:v>6.4634600000000004</c:v>
                </c:pt>
                <c:pt idx="456">
                  <c:v>6.3382199999999997</c:v>
                </c:pt>
                <c:pt idx="457">
                  <c:v>6.2108400000000001</c:v>
                </c:pt>
                <c:pt idx="458">
                  <c:v>6.0813300000000003</c:v>
                </c:pt>
                <c:pt idx="459">
                  <c:v>5.9497400000000003</c:v>
                </c:pt>
                <c:pt idx="460">
                  <c:v>5.8160699999999999</c:v>
                </c:pt>
                <c:pt idx="461">
                  <c:v>5.6803800000000004</c:v>
                </c:pt>
                <c:pt idx="462">
                  <c:v>5.5426900000000003</c:v>
                </c:pt>
                <c:pt idx="463">
                  <c:v>5.4030300000000002</c:v>
                </c:pt>
                <c:pt idx="464">
                  <c:v>5.2614400000000003</c:v>
                </c:pt>
                <c:pt idx="465">
                  <c:v>5.1179600000000001</c:v>
                </c:pt>
                <c:pt idx="466">
                  <c:v>4.97262</c:v>
                </c:pt>
                <c:pt idx="467">
                  <c:v>4.8254599999999996</c:v>
                </c:pt>
                <c:pt idx="468">
                  <c:v>4.6765299999999996</c:v>
                </c:pt>
                <c:pt idx="469">
                  <c:v>4.5258500000000002</c:v>
                </c:pt>
                <c:pt idx="470">
                  <c:v>4.3734700000000002</c:v>
                </c:pt>
                <c:pt idx="471">
                  <c:v>4.2194200000000004</c:v>
                </c:pt>
                <c:pt idx="472">
                  <c:v>4.0637600000000003</c:v>
                </c:pt>
                <c:pt idx="473">
                  <c:v>3.9065099999999999</c:v>
                </c:pt>
                <c:pt idx="474">
                  <c:v>3.7477299999999998</c:v>
                </c:pt>
                <c:pt idx="475">
                  <c:v>3.58744</c:v>
                </c:pt>
                <c:pt idx="476">
                  <c:v>3.4256899999999999</c:v>
                </c:pt>
                <c:pt idx="477">
                  <c:v>3.2625299999999999</c:v>
                </c:pt>
                <c:pt idx="478">
                  <c:v>3.0979800000000002</c:v>
                </c:pt>
                <c:pt idx="479">
                  <c:v>2.9320900000000001</c:v>
                </c:pt>
                <c:pt idx="480">
                  <c:v>2.7648999999999999</c:v>
                </c:pt>
                <c:pt idx="481">
                  <c:v>2.5964499999999999</c:v>
                </c:pt>
                <c:pt idx="482">
                  <c:v>2.4267699999999999</c:v>
                </c:pt>
                <c:pt idx="483">
                  <c:v>2.2559100000000001</c:v>
                </c:pt>
                <c:pt idx="484">
                  <c:v>2.0838899999999998</c:v>
                </c:pt>
                <c:pt idx="485">
                  <c:v>1.91076</c:v>
                </c:pt>
                <c:pt idx="486">
                  <c:v>1.73655</c:v>
                </c:pt>
                <c:pt idx="487">
                  <c:v>1.5612999999999999</c:v>
                </c:pt>
                <c:pt idx="488">
                  <c:v>1.38504</c:v>
                </c:pt>
                <c:pt idx="489">
                  <c:v>1.2078</c:v>
                </c:pt>
                <c:pt idx="490">
                  <c:v>1.02962</c:v>
                </c:pt>
                <c:pt idx="491">
                  <c:v>0.85052899999999998</c:v>
                </c:pt>
                <c:pt idx="492">
                  <c:v>0.67055500000000001</c:v>
                </c:pt>
                <c:pt idx="493">
                  <c:v>0.48973100000000003</c:v>
                </c:pt>
                <c:pt idx="494">
                  <c:v>0.308085</c:v>
                </c:pt>
                <c:pt idx="495">
                  <c:v>0.12564500000000001</c:v>
                </c:pt>
                <c:pt idx="496">
                  <c:v>-5.7559899999999997E-2</c:v>
                </c:pt>
                <c:pt idx="497">
                  <c:v>-0.241504</c:v>
                </c:pt>
                <c:pt idx="498">
                  <c:v>-0.42616199999999999</c:v>
                </c:pt>
                <c:pt idx="499">
                  <c:v>-0.61150800000000005</c:v>
                </c:pt>
                <c:pt idx="500">
                  <c:v>-0.79751899999999998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DF-44C0-9F25-ED77A2E60797}"/>
            </c:ext>
          </c:extLst>
        </c:ser>
        <c:ser>
          <c:idx val="0"/>
          <c:order val="2"/>
          <c:tx>
            <c:strRef>
              <c:f>'Combined Sim + PCB'!$Q$1</c:f>
              <c:strCache>
                <c:ptCount val="1"/>
                <c:pt idx="0">
                  <c:v>Stage 1 Measurement (TL071)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FF00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Pt>
            <c:idx val="8"/>
            <c:marker>
              <c:symbol val="diamond"/>
              <c:size val="11"/>
              <c:spPr>
                <a:solidFill>
                  <a:schemeClr val="tx1"/>
                </a:solidFill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6DF-44C0-9F25-ED77A2E60797}"/>
              </c:ext>
            </c:extLst>
          </c:dPt>
          <c:xVal>
            <c:numRef>
              <c:f>'Combined Sim + PCB'!$M$2:$M$23</c:f>
              <c:numCache>
                <c:formatCode>0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440</c:v>
                </c:pt>
                <c:pt idx="9">
                  <c:v>500</c:v>
                </c:pt>
                <c:pt idx="10">
                  <c:v>1000</c:v>
                </c:pt>
                <c:pt idx="11">
                  <c:v>3000</c:v>
                </c:pt>
                <c:pt idx="12">
                  <c:v>5000</c:v>
                </c:pt>
                <c:pt idx="13">
                  <c:v>10000</c:v>
                </c:pt>
                <c:pt idx="14">
                  <c:v>20000</c:v>
                </c:pt>
                <c:pt idx="15">
                  <c:v>30000</c:v>
                </c:pt>
                <c:pt idx="16">
                  <c:v>50000</c:v>
                </c:pt>
                <c:pt idx="17">
                  <c:v>100000</c:v>
                </c:pt>
                <c:pt idx="18">
                  <c:v>200000</c:v>
                </c:pt>
                <c:pt idx="19">
                  <c:v>300000</c:v>
                </c:pt>
                <c:pt idx="20">
                  <c:v>500000</c:v>
                </c:pt>
                <c:pt idx="21">
                  <c:v>1000000</c:v>
                </c:pt>
              </c:numCache>
            </c:numRef>
          </c:xVal>
          <c:yVal>
            <c:numRef>
              <c:f>'Combined Sim + PCB'!$Q$2:$Q$23</c:f>
              <c:numCache>
                <c:formatCode>General</c:formatCode>
                <c:ptCount val="22"/>
                <c:pt idx="0">
                  <c:v>-6.0205999132796242</c:v>
                </c:pt>
                <c:pt idx="1">
                  <c:v>3.1177574593478856</c:v>
                </c:pt>
                <c:pt idx="2">
                  <c:v>6.3910980610501511</c:v>
                </c:pt>
                <c:pt idx="3">
                  <c:v>9.2465922090371464</c:v>
                </c:pt>
                <c:pt idx="4">
                  <c:v>10.437630259327777</c:v>
                </c:pt>
                <c:pt idx="5">
                  <c:v>10.615504522527427</c:v>
                </c:pt>
                <c:pt idx="6">
                  <c:v>10.673995582873758</c:v>
                </c:pt>
                <c:pt idx="7">
                  <c:v>10.713930777995266</c:v>
                </c:pt>
                <c:pt idx="8">
                  <c:v>10.772030590863411</c:v>
                </c:pt>
                <c:pt idx="9">
                  <c:v>10.732095395741904</c:v>
                </c:pt>
                <c:pt idx="10">
                  <c:v>10.673995582873758</c:v>
                </c:pt>
                <c:pt idx="11">
                  <c:v>10.673995582873758</c:v>
                </c:pt>
                <c:pt idx="12">
                  <c:v>10.596552104713307</c:v>
                </c:pt>
                <c:pt idx="13">
                  <c:v>10.172766123314545</c:v>
                </c:pt>
                <c:pt idx="14">
                  <c:v>9.048307638537743</c:v>
                </c:pt>
                <c:pt idx="15">
                  <c:v>7.6739913911485482</c:v>
                </c:pt>
                <c:pt idx="16">
                  <c:v>5.2027472355586148</c:v>
                </c:pt>
                <c:pt idx="17">
                  <c:v>0.9348680708465239</c:v>
                </c:pt>
                <c:pt idx="18">
                  <c:v>-4.6089784275654786</c:v>
                </c:pt>
                <c:pt idx="19">
                  <c:v>-7.8812470721767163</c:v>
                </c:pt>
                <c:pt idx="20">
                  <c:v>-11.324820466029342</c:v>
                </c:pt>
                <c:pt idx="21">
                  <c:v>-16.04569860200726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DF-44C0-9F25-ED77A2E60797}"/>
            </c:ext>
          </c:extLst>
        </c:ser>
        <c:ser>
          <c:idx val="1"/>
          <c:order val="3"/>
          <c:tx>
            <c:strRef>
              <c:f>'Combined Sim + PCB'!$Q$26</c:f>
              <c:strCache>
                <c:ptCount val="1"/>
                <c:pt idx="0">
                  <c:v>Stage 2 Measurement (OPA551)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Pt>
            <c:idx val="8"/>
            <c:marker>
              <c:symbol val="triangle"/>
              <c:size val="8"/>
              <c:spPr>
                <a:solidFill>
                  <a:schemeClr val="tx1"/>
                </a:solidFill>
                <a:ln w="9525">
                  <a:solidFill>
                    <a:schemeClr val="accent6">
                      <a:lumMod val="20000"/>
                      <a:lumOff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6DF-44C0-9F25-ED77A2E60797}"/>
              </c:ext>
            </c:extLst>
          </c:dPt>
          <c:xVal>
            <c:numRef>
              <c:f>'Combined Sim + PCB'!$M$27:$M$48</c:f>
              <c:numCache>
                <c:formatCode>0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440</c:v>
                </c:pt>
                <c:pt idx="9">
                  <c:v>500</c:v>
                </c:pt>
                <c:pt idx="10">
                  <c:v>1000</c:v>
                </c:pt>
                <c:pt idx="11">
                  <c:v>3000</c:v>
                </c:pt>
                <c:pt idx="12">
                  <c:v>5000</c:v>
                </c:pt>
                <c:pt idx="13">
                  <c:v>10000</c:v>
                </c:pt>
                <c:pt idx="14">
                  <c:v>20000</c:v>
                </c:pt>
                <c:pt idx="15">
                  <c:v>30000</c:v>
                </c:pt>
                <c:pt idx="16">
                  <c:v>50000</c:v>
                </c:pt>
                <c:pt idx="17">
                  <c:v>100000</c:v>
                </c:pt>
                <c:pt idx="18">
                  <c:v>200000</c:v>
                </c:pt>
                <c:pt idx="19">
                  <c:v>300000</c:v>
                </c:pt>
                <c:pt idx="20">
                  <c:v>500000</c:v>
                </c:pt>
                <c:pt idx="21">
                  <c:v>1000000</c:v>
                </c:pt>
              </c:numCache>
            </c:numRef>
          </c:xVal>
          <c:yVal>
            <c:numRef>
              <c:f>'Combined Sim + PCB'!$Q$27:$Q$48</c:f>
              <c:numCache>
                <c:formatCode>General</c:formatCode>
                <c:ptCount val="22"/>
                <c:pt idx="0">
                  <c:v>-20.8278537031645</c:v>
                </c:pt>
                <c:pt idx="1">
                  <c:v>-6.3850963154036053</c:v>
                </c:pt>
                <c:pt idx="2">
                  <c:v>0.61247494863235863</c:v>
                </c:pt>
                <c:pt idx="3">
                  <c:v>6.9059524752429056</c:v>
                </c:pt>
                <c:pt idx="4">
                  <c:v>9.9049291330461458</c:v>
                </c:pt>
                <c:pt idx="5">
                  <c:v>10.316990963929516</c:v>
                </c:pt>
                <c:pt idx="6">
                  <c:v>10.556616909591801</c:v>
                </c:pt>
                <c:pt idx="7">
                  <c:v>10.615504522527427</c:v>
                </c:pt>
                <c:pt idx="8">
                  <c:v>10.673995582873758</c:v>
                </c:pt>
                <c:pt idx="9">
                  <c:v>10.673995582873758</c:v>
                </c:pt>
                <c:pt idx="10">
                  <c:v>10.673995582873758</c:v>
                </c:pt>
                <c:pt idx="11">
                  <c:v>10.615504522527427</c:v>
                </c:pt>
                <c:pt idx="12">
                  <c:v>10.49732733031702</c:v>
                </c:pt>
                <c:pt idx="13">
                  <c:v>10.132830928193039</c:v>
                </c:pt>
                <c:pt idx="14">
                  <c:v>8.9774020232447498</c:v>
                </c:pt>
                <c:pt idx="15">
                  <c:v>7.6739913911485482</c:v>
                </c:pt>
                <c:pt idx="16">
                  <c:v>5.1628120404371094</c:v>
                </c:pt>
                <c:pt idx="17">
                  <c:v>0.75577121778799505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DF-44C0-9F25-ED77A2E60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5952"/>
        <c:axId val="1687856432"/>
      </c:scatterChart>
      <c:valAx>
        <c:axId val="1687855952"/>
        <c:scaling>
          <c:logBase val="10"/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4719844362426181"/>
              <c:y val="0.82493511566868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6432"/>
        <c:crosses val="autoZero"/>
        <c:crossBetween val="midCat"/>
      </c:valAx>
      <c:valAx>
        <c:axId val="168785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Gain (dB)</a:t>
                </a:r>
              </a:p>
            </c:rich>
          </c:tx>
          <c:layout>
            <c:manualLayout>
              <c:xMode val="edge"/>
              <c:yMode val="edge"/>
              <c:x val="1.4925373134328358E-2"/>
              <c:y val="0.36768543697592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559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344313172752447"/>
          <c:y val="0.88449539156442658"/>
          <c:w val="0.63120485000084126"/>
          <c:h val="9.6899957272782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593673</xdr:colOff>
      <xdr:row>4</xdr:row>
      <xdr:rowOff>179112</xdr:rowOff>
    </xdr:from>
    <xdr:to>
      <xdr:col>9</xdr:col>
      <xdr:colOff>18143</xdr:colOff>
      <xdr:row>19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988B5-EBD7-4A1C-BAAE-EB7D7A007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6803</xdr:colOff>
      <xdr:row>0</xdr:row>
      <xdr:rowOff>108858</xdr:rowOff>
    </xdr:from>
    <xdr:to>
      <xdr:col>10</xdr:col>
      <xdr:colOff>436249</xdr:colOff>
      <xdr:row>11</xdr:row>
      <xdr:rowOff>40822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67A82A-4B8F-4116-A99D-54EBFE08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0696" y="108858"/>
          <a:ext cx="3491053" cy="20274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142873</xdr:colOff>
      <xdr:row>0</xdr:row>
      <xdr:rowOff>180975</xdr:rowOff>
    </xdr:from>
    <xdr:to>
      <xdr:col>13</xdr:col>
      <xdr:colOff>9524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0C12E-C19C-437B-A848-7DE2F4B97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69850</xdr:colOff>
      <xdr:row>7</xdr:row>
      <xdr:rowOff>133350</xdr:rowOff>
    </xdr:from>
    <xdr:ext cx="8058150" cy="412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BBC3E-32A1-42F9-80D4-EEA9C2F80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336549</xdr:colOff>
      <xdr:row>0</xdr:row>
      <xdr:rowOff>222624</xdr:rowOff>
    </xdr:from>
    <xdr:to>
      <xdr:col>11</xdr:col>
      <xdr:colOff>257736</xdr:colOff>
      <xdr:row>21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4590C-7ACD-481A-87DC-3DEF2A204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448235</xdr:colOff>
      <xdr:row>0</xdr:row>
      <xdr:rowOff>153708</xdr:rowOff>
    </xdr:from>
    <xdr:to>
      <xdr:col>27</xdr:col>
      <xdr:colOff>392207</xdr:colOff>
      <xdr:row>24</xdr:row>
      <xdr:rowOff>22412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A3E1C9-B5EC-4D87-9B6B-B00AD02B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392206</xdr:colOff>
      <xdr:row>23</xdr:row>
      <xdr:rowOff>78440</xdr:rowOff>
    </xdr:from>
    <xdr:to>
      <xdr:col>17</xdr:col>
      <xdr:colOff>161716</xdr:colOff>
      <xdr:row>44</xdr:row>
      <xdr:rowOff>78441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0A94D4-F783-469A-A558-E7A39CDA0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80481" y="4431365"/>
          <a:ext cx="5024135" cy="380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329779</xdr:colOff>
      <xdr:row>1</xdr:row>
      <xdr:rowOff>123902</xdr:rowOff>
    </xdr:from>
    <xdr:to>
      <xdr:col>13</xdr:col>
      <xdr:colOff>139390</xdr:colOff>
      <xdr:row>21</xdr:row>
      <xdr:rowOff>108414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48D5B-82C4-433C-8B26-0946F6AEC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69850</xdr:colOff>
      <xdr:row>7</xdr:row>
      <xdr:rowOff>133350</xdr:rowOff>
    </xdr:from>
    <xdr:ext cx="8058150" cy="412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F4838-D830-4F84-923E-90B1EF2E7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195371</xdr:colOff>
      <xdr:row>0</xdr:row>
      <xdr:rowOff>152477</xdr:rowOff>
    </xdr:from>
    <xdr:to>
      <xdr:col>11</xdr:col>
      <xdr:colOff>310092</xdr:colOff>
      <xdr:row>20</xdr:row>
      <xdr:rowOff>56091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35FF4-9A6A-415B-936E-6C7DC0AC7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218016</xdr:colOff>
      <xdr:row>0</xdr:row>
      <xdr:rowOff>113241</xdr:rowOff>
    </xdr:from>
    <xdr:to>
      <xdr:col>26</xdr:col>
      <xdr:colOff>592667</xdr:colOff>
      <xdr:row>21</xdr:row>
      <xdr:rowOff>148167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980451-EA97-451F-A5C6-655C9FE10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571501</xdr:colOff>
      <xdr:row>24</xdr:row>
      <xdr:rowOff>95250</xdr:rowOff>
    </xdr:from>
    <xdr:to>
      <xdr:col>16</xdr:col>
      <xdr:colOff>1126606</xdr:colOff>
      <xdr:row>45</xdr:row>
      <xdr:rowOff>77709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C5B457-0410-425D-8F49-E1458622A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34401" y="4591050"/>
          <a:ext cx="5003280" cy="37829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0</xdr:rowOff>
    </xdr:from>
    <xdr:to>
      <xdr:col>11</xdr:col>
      <xdr:colOff>342900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9ACF1-496E-4692-9FD9-2202F6880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69850</xdr:colOff>
      <xdr:row>7</xdr:row>
      <xdr:rowOff>133350</xdr:rowOff>
    </xdr:from>
    <xdr:ext cx="8058150" cy="412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F5732-1AFA-48E9-9291-6DCA1A938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69850</xdr:colOff>
      <xdr:row>7</xdr:row>
      <xdr:rowOff>133350</xdr:rowOff>
    </xdr:from>
    <xdr:ext cx="8058150" cy="412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40C7E-287F-44C4-8EB1-DD41F5F01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0</xdr:rowOff>
    </xdr:from>
    <xdr:to>
      <xdr:col>11</xdr:col>
      <xdr:colOff>342900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0C037-3D3B-43D7-B7EC-6A2FF3D0C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209549</xdr:colOff>
      <xdr:row>0</xdr:row>
      <xdr:rowOff>168275</xdr:rowOff>
    </xdr:from>
    <xdr:to>
      <xdr:col>27</xdr:col>
      <xdr:colOff>238125</xdr:colOff>
      <xdr:row>21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482B7-74B8-46E8-B92E-0450998D5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266700</xdr:colOff>
      <xdr:row>24</xdr:row>
      <xdr:rowOff>161925</xdr:rowOff>
    </xdr:from>
    <xdr:to>
      <xdr:col>27</xdr:col>
      <xdr:colOff>133350</xdr:colOff>
      <xdr:row>47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FA1537-5BB0-44AE-AC77-97466278F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54075" y="4873625"/>
          <a:ext cx="5962650" cy="4489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24</xdr:row>
      <xdr:rowOff>114300</xdr:rowOff>
    </xdr:from>
    <xdr:to>
      <xdr:col>11</xdr:col>
      <xdr:colOff>406400</xdr:colOff>
      <xdr:row>46</xdr:row>
      <xdr:rowOff>92075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7EB553-682C-4D1B-BB03-AA99C27B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57700" y="4829175"/>
          <a:ext cx="5114925" cy="4330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139700</xdr:rowOff>
    </xdr:from>
    <xdr:to>
      <xdr:col>5</xdr:col>
      <xdr:colOff>599017</xdr:colOff>
      <xdr:row>15</xdr:row>
      <xdr:rowOff>112713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AD3B6-33CE-0A90-8C53-F27CDFB8C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700"/>
          <a:ext cx="3647017" cy="2735263"/>
        </a:xfrm>
        <a:prstGeom prst="rect">
          <a:avLst/>
        </a:prstGeom>
      </xdr:spPr>
    </xdr:pic>
    <xdr:clientData/>
  </xdr:twoCellAnchor>
  <xdr:twoCellAnchor editAs="oneCell">
    <xdr:from>
      <xdr:col>6</xdr:col>
      <xdr:colOff>609599</xdr:colOff>
      <xdr:row>1</xdr:row>
      <xdr:rowOff>0</xdr:rowOff>
    </xdr:from>
    <xdr:to>
      <xdr:col>13</xdr:col>
      <xdr:colOff>25398</xdr:colOff>
      <xdr:row>15</xdr:row>
      <xdr:rowOff>184149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9D9E5F-09CF-9BEC-1AAE-53654165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199" y="184150"/>
          <a:ext cx="3682999" cy="27622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iveastonac-my.sharepoint.com/personal/240191278_aston_ac_uk/Documents/240191278_EECS_Beng/240191278_EECS%20(First%20Year)/EI1EL2%20(Electronics%202)/Projects/Project%201%20-%20Audio%20Amplifier%20Project/Audio%20Amplifier%20Design%20Calculations/Audio%20Amplifier%20Design%20Calculations.xlsx" TargetMode="External"/><Relationship Id="rId2" Type="http://schemas.microsoft.com/office/2019/04/relationships/externalLinkLongPath" Target="Audio%20Amplifier%20Design%20Calculations.xlsx?3A2AD4F5" TargetMode="External"/><Relationship Id="rId1" Type="http://schemas.openxmlformats.org/officeDocument/2006/relationships/externalLinkPath" Target="file:///\\3A2AD4F5\Audio%20Amplifier%20Design%20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astonac-my.sharepoint.com/personal/240191278_aston_ac_uk/Documents/Softwares%20&amp;%20Downloads%20(EECS)/Proteus/Projects/Aston_Proteus_Projects/EI1EL2%20-Audio%20Amp%20(Single%20Supply)/Proteus%20-%20AFS%20(Single-Supply).xlsx" TargetMode="External"/><Relationship Id="rId1" Type="http://schemas.openxmlformats.org/officeDocument/2006/relationships/externalLinkPath" Target="/personal/240191278_aston_ac_uk/Documents/Softwares%20&amp;%20Downloads%20(EECS)/Proteus/Projects/Aston_Proteus_Projects/EI1EL2%20-Audio%20Amp%20(Single%20Supply)/Proteus%20-%20AFS%20(Single-Supply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astonac-my.sharepoint.com/personal/240191278_aston_ac_uk/Documents/Softwares%20&amp;%20Downloads%20(EECS)/Proteus/Projects/Aston_Proteus_Projects/EI1EL2%20-Audio%20Amp%20(Schematic)/final-simulation-frequency.xlsx" TargetMode="External"/><Relationship Id="rId1" Type="http://schemas.openxmlformats.org/officeDocument/2006/relationships/externalLinkPath" Target="/personal/240191278_aston_ac_uk/Documents/Softwares%20&amp;%20Downloads%20(EECS)/Proteus/Projects/Aston_Proteus_Projects/EI1EL2%20-Audio%20Amp%20(Schematic)/final-simulation-freque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ay ground "/>
      <sheetName val="MB Phone Characterisation"/>
      <sheetName val="Design Calculations"/>
    </sheetNames>
    <sheetDataSet>
      <sheetData sheetId="0"/>
      <sheetData sheetId="1">
        <row r="8">
          <cell r="L8">
            <v>1.224</v>
          </cell>
        </row>
        <row r="15">
          <cell r="L15">
            <v>0.872</v>
          </cell>
        </row>
        <row r="16">
          <cell r="L16">
            <v>0.30829855659733468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teus - AFS (Single-Supply)"/>
      <sheetName val="Breadboard - AFS (Single-Supply"/>
      <sheetName val="Combined Single Supply (BB+Sim)"/>
    </sheetNames>
    <sheetDataSet>
      <sheetData sheetId="0">
        <row r="1">
          <cell r="B1" t="str">
            <v>Simulated Gain (dB)</v>
          </cell>
        </row>
        <row r="2">
          <cell r="A2">
            <v>1</v>
          </cell>
          <cell r="B2">
            <v>-5.8578200000000002</v>
          </cell>
        </row>
        <row r="3">
          <cell r="A3">
            <v>1.023292992</v>
          </cell>
          <cell r="B3">
            <v>-5.6623700000000001</v>
          </cell>
        </row>
        <row r="4">
          <cell r="A4">
            <v>1.0471285480000001</v>
          </cell>
          <cell r="B4">
            <v>-5.4671200000000004</v>
          </cell>
        </row>
        <row r="5">
          <cell r="A5">
            <v>1.071519305</v>
          </cell>
          <cell r="B5">
            <v>-5.2721</v>
          </cell>
        </row>
        <row r="6">
          <cell r="A6">
            <v>1.0964781960000001</v>
          </cell>
          <cell r="B6">
            <v>-5.0773000000000001</v>
          </cell>
        </row>
        <row r="7">
          <cell r="A7">
            <v>1.122018454</v>
          </cell>
          <cell r="B7">
            <v>-4.8827499999999997</v>
          </cell>
        </row>
        <row r="8">
          <cell r="A8">
            <v>1.1481536210000001</v>
          </cell>
          <cell r="B8">
            <v>-4.6884399999999999</v>
          </cell>
        </row>
        <row r="9">
          <cell r="A9">
            <v>1.174897555</v>
          </cell>
          <cell r="B9">
            <v>-4.4943900000000001</v>
          </cell>
        </row>
        <row r="10">
          <cell r="A10">
            <v>1.202264435</v>
          </cell>
          <cell r="B10">
            <v>-4.3006200000000003</v>
          </cell>
        </row>
        <row r="11">
          <cell r="A11">
            <v>1.230268771</v>
          </cell>
          <cell r="B11">
            <v>-4.1071299999999997</v>
          </cell>
        </row>
        <row r="12">
          <cell r="A12">
            <v>1.258925412</v>
          </cell>
          <cell r="B12">
            <v>-3.9139300000000001</v>
          </cell>
        </row>
        <row r="13">
          <cell r="A13">
            <v>1.2882495519999999</v>
          </cell>
          <cell r="B13">
            <v>-3.72105</v>
          </cell>
        </row>
        <row r="14">
          <cell r="A14">
            <v>1.318256739</v>
          </cell>
          <cell r="B14">
            <v>-3.5284800000000001</v>
          </cell>
        </row>
        <row r="15">
          <cell r="A15">
            <v>1.348962883</v>
          </cell>
          <cell r="B15">
            <v>-3.3362599999999998</v>
          </cell>
        </row>
        <row r="16">
          <cell r="A16">
            <v>1.380384265</v>
          </cell>
          <cell r="B16">
            <v>-3.14438</v>
          </cell>
        </row>
        <row r="17">
          <cell r="A17">
            <v>1.4125375449999999</v>
          </cell>
          <cell r="B17">
            <v>-2.9528699999999999</v>
          </cell>
        </row>
        <row r="18">
          <cell r="A18">
            <v>1.445439771</v>
          </cell>
          <cell r="B18">
            <v>-2.7617500000000001</v>
          </cell>
        </row>
        <row r="19">
          <cell r="A19">
            <v>1.479108388</v>
          </cell>
          <cell r="B19">
            <v>-2.5710199999999999</v>
          </cell>
        </row>
        <row r="20">
          <cell r="A20">
            <v>1.513561248</v>
          </cell>
          <cell r="B20">
            <v>-2.3807100000000001</v>
          </cell>
        </row>
        <row r="21">
          <cell r="A21">
            <v>1.5488166189999999</v>
          </cell>
          <cell r="B21">
            <v>-2.1908300000000001</v>
          </cell>
        </row>
        <row r="22">
          <cell r="A22">
            <v>1.584893192</v>
          </cell>
          <cell r="B22">
            <v>-2.0014099999999999</v>
          </cell>
        </row>
        <row r="23">
          <cell r="A23">
            <v>1.621810097</v>
          </cell>
          <cell r="B23">
            <v>-1.8124499999999999</v>
          </cell>
        </row>
        <row r="24">
          <cell r="A24">
            <v>1.659586907</v>
          </cell>
          <cell r="B24">
            <v>-1.62399</v>
          </cell>
        </row>
        <row r="25">
          <cell r="A25">
            <v>1.6982436519999999</v>
          </cell>
          <cell r="B25">
            <v>-1.43604</v>
          </cell>
        </row>
        <row r="26">
          <cell r="A26">
            <v>1.737800829</v>
          </cell>
          <cell r="B26">
            <v>-1.2486200000000001</v>
          </cell>
        </row>
        <row r="27">
          <cell r="A27">
            <v>1.7782794099999999</v>
          </cell>
          <cell r="B27">
            <v>-1.06175</v>
          </cell>
        </row>
        <row r="28">
          <cell r="A28">
            <v>1.8197008589999999</v>
          </cell>
          <cell r="B28">
            <v>-0.87545700000000004</v>
          </cell>
        </row>
        <row r="29">
          <cell r="A29">
            <v>1.8620871370000001</v>
          </cell>
          <cell r="B29">
            <v>-0.68976599999999999</v>
          </cell>
        </row>
        <row r="30">
          <cell r="A30">
            <v>1.9054607180000001</v>
          </cell>
          <cell r="B30">
            <v>-0.50469900000000001</v>
          </cell>
        </row>
        <row r="31">
          <cell r="A31">
            <v>1.9498446</v>
          </cell>
          <cell r="B31">
            <v>-0.32028099999999998</v>
          </cell>
        </row>
        <row r="32">
          <cell r="A32">
            <v>1.995262315</v>
          </cell>
          <cell r="B32">
            <v>-0.13653799999999999</v>
          </cell>
        </row>
        <row r="33">
          <cell r="A33">
            <v>2.0417379449999999</v>
          </cell>
          <cell r="B33">
            <v>4.6503900000000001E-2</v>
          </cell>
        </row>
        <row r="34">
          <cell r="A34">
            <v>2.0892961309999998</v>
          </cell>
          <cell r="B34">
            <v>0.22881799999999999</v>
          </cell>
        </row>
        <row r="35">
          <cell r="A35">
            <v>2.1379620899999998</v>
          </cell>
          <cell r="B35">
            <v>0.41037400000000002</v>
          </cell>
        </row>
        <row r="36">
          <cell r="A36">
            <v>2.1877616240000002</v>
          </cell>
          <cell r="B36">
            <v>0.59114599999999995</v>
          </cell>
        </row>
        <row r="37">
          <cell r="A37">
            <v>2.2387211389999999</v>
          </cell>
          <cell r="B37">
            <v>0.77110199999999995</v>
          </cell>
        </row>
        <row r="38">
          <cell r="A38">
            <v>2.2908676529999998</v>
          </cell>
          <cell r="B38">
            <v>0.95021199999999995</v>
          </cell>
        </row>
        <row r="39">
          <cell r="A39">
            <v>2.3442288150000001</v>
          </cell>
          <cell r="B39">
            <v>1.1284400000000001</v>
          </cell>
        </row>
        <row r="40">
          <cell r="A40">
            <v>2.3988329190000002</v>
          </cell>
          <cell r="B40">
            <v>1.3057700000000001</v>
          </cell>
        </row>
        <row r="41">
          <cell r="A41">
            <v>2.454708916</v>
          </cell>
          <cell r="B41">
            <v>1.4821500000000001</v>
          </cell>
        </row>
        <row r="42">
          <cell r="A42">
            <v>2.5118864319999998</v>
          </cell>
          <cell r="B42">
            <v>1.6575500000000001</v>
          </cell>
        </row>
        <row r="43">
          <cell r="A43">
            <v>2.5703957829999999</v>
          </cell>
          <cell r="B43">
            <v>1.83195</v>
          </cell>
        </row>
        <row r="44">
          <cell r="A44">
            <v>2.6302679919999998</v>
          </cell>
          <cell r="B44">
            <v>2.00529</v>
          </cell>
        </row>
        <row r="45">
          <cell r="A45">
            <v>2.6915348039999998</v>
          </cell>
          <cell r="B45">
            <v>2.1775600000000002</v>
          </cell>
        </row>
        <row r="46">
          <cell r="A46">
            <v>2.7542287029999999</v>
          </cell>
          <cell r="B46">
            <v>2.3487100000000001</v>
          </cell>
        </row>
        <row r="47">
          <cell r="A47">
            <v>2.8183829309999999</v>
          </cell>
          <cell r="B47">
            <v>2.5186999999999999</v>
          </cell>
        </row>
        <row r="48">
          <cell r="A48">
            <v>2.8840315030000001</v>
          </cell>
          <cell r="B48">
            <v>2.6875</v>
          </cell>
        </row>
        <row r="49">
          <cell r="A49">
            <v>2.9512092270000001</v>
          </cell>
          <cell r="B49">
            <v>2.8550599999999999</v>
          </cell>
        </row>
        <row r="50">
          <cell r="A50">
            <v>3.0199517199999999</v>
          </cell>
          <cell r="B50">
            <v>3.02136</v>
          </cell>
        </row>
        <row r="51">
          <cell r="A51">
            <v>3.0902954330000001</v>
          </cell>
          <cell r="B51">
            <v>3.18634</v>
          </cell>
        </row>
        <row r="52">
          <cell r="A52">
            <v>3.16227766</v>
          </cell>
          <cell r="B52">
            <v>3.34998</v>
          </cell>
        </row>
        <row r="53">
          <cell r="A53">
            <v>3.2359365690000002</v>
          </cell>
          <cell r="B53">
            <v>3.5122200000000001</v>
          </cell>
        </row>
        <row r="54">
          <cell r="A54">
            <v>3.3113112149999999</v>
          </cell>
          <cell r="B54">
            <v>3.6730299999999998</v>
          </cell>
        </row>
        <row r="55">
          <cell r="A55">
            <v>3.388441561</v>
          </cell>
          <cell r="B55">
            <v>3.8323800000000001</v>
          </cell>
        </row>
        <row r="56">
          <cell r="A56">
            <v>3.467368505</v>
          </cell>
          <cell r="B56">
            <v>3.9902099999999998</v>
          </cell>
        </row>
        <row r="57">
          <cell r="A57">
            <v>3.5481338920000001</v>
          </cell>
          <cell r="B57">
            <v>4.1464800000000004</v>
          </cell>
        </row>
        <row r="58">
          <cell r="A58">
            <v>3.6307805480000002</v>
          </cell>
          <cell r="B58">
            <v>4.3011699999999999</v>
          </cell>
        </row>
        <row r="59">
          <cell r="A59">
            <v>3.7153522909999999</v>
          </cell>
          <cell r="B59">
            <v>4.4542200000000003</v>
          </cell>
        </row>
        <row r="60">
          <cell r="A60">
            <v>3.8018939629999999</v>
          </cell>
          <cell r="B60">
            <v>4.6055900000000003</v>
          </cell>
        </row>
        <row r="61">
          <cell r="A61">
            <v>3.89045145</v>
          </cell>
          <cell r="B61">
            <v>4.7552500000000002</v>
          </cell>
        </row>
        <row r="62">
          <cell r="A62">
            <v>3.9810717059999998</v>
          </cell>
          <cell r="B62">
            <v>4.9031599999999997</v>
          </cell>
        </row>
        <row r="63">
          <cell r="A63">
            <v>4.0738027780000001</v>
          </cell>
          <cell r="B63">
            <v>5.0492699999999999</v>
          </cell>
        </row>
        <row r="64">
          <cell r="A64">
            <v>4.168693835</v>
          </cell>
          <cell r="B64">
            <v>5.1935500000000001</v>
          </cell>
        </row>
        <row r="65">
          <cell r="A65">
            <v>4.2657951880000002</v>
          </cell>
          <cell r="B65">
            <v>5.33596</v>
          </cell>
        </row>
        <row r="66">
          <cell r="A66">
            <v>4.3651583220000001</v>
          </cell>
          <cell r="B66">
            <v>5.4764600000000003</v>
          </cell>
        </row>
        <row r="67">
          <cell r="A67">
            <v>4.4668359219999996</v>
          </cell>
          <cell r="B67">
            <v>5.6150200000000003</v>
          </cell>
        </row>
        <row r="68">
          <cell r="A68">
            <v>4.5708818960000004</v>
          </cell>
          <cell r="B68">
            <v>5.7516100000000003</v>
          </cell>
        </row>
        <row r="69">
          <cell r="A69">
            <v>4.6773514130000002</v>
          </cell>
          <cell r="B69">
            <v>5.8861800000000004</v>
          </cell>
        </row>
        <row r="70">
          <cell r="A70">
            <v>4.7863009229999998</v>
          </cell>
          <cell r="B70">
            <v>6.0187099999999996</v>
          </cell>
        </row>
        <row r="71">
          <cell r="A71">
            <v>4.8977881940000003</v>
          </cell>
          <cell r="B71">
            <v>6.1491600000000002</v>
          </cell>
        </row>
        <row r="72">
          <cell r="A72">
            <v>5.0118723359999997</v>
          </cell>
          <cell r="B72">
            <v>6.27752</v>
          </cell>
        </row>
        <row r="73">
          <cell r="A73">
            <v>5.1286138399999999</v>
          </cell>
          <cell r="B73">
            <v>6.40374</v>
          </cell>
        </row>
        <row r="74">
          <cell r="A74">
            <v>5.248074602</v>
          </cell>
          <cell r="B74">
            <v>6.5278</v>
          </cell>
        </row>
        <row r="75">
          <cell r="A75">
            <v>5.3703179639999998</v>
          </cell>
          <cell r="B75">
            <v>6.6496899999999997</v>
          </cell>
        </row>
        <row r="76">
          <cell r="A76">
            <v>5.4954087390000002</v>
          </cell>
          <cell r="B76">
            <v>6.7693700000000003</v>
          </cell>
        </row>
        <row r="77">
          <cell r="A77">
            <v>5.6234132519999998</v>
          </cell>
          <cell r="B77">
            <v>6.8868200000000002</v>
          </cell>
        </row>
        <row r="78">
          <cell r="A78">
            <v>5.754399373</v>
          </cell>
          <cell r="B78">
            <v>7.00204</v>
          </cell>
        </row>
        <row r="79">
          <cell r="A79">
            <v>5.8884365540000001</v>
          </cell>
          <cell r="B79">
            <v>7.1150000000000002</v>
          </cell>
        </row>
        <row r="80">
          <cell r="A80">
            <v>6.0255958610000002</v>
          </cell>
          <cell r="B80">
            <v>7.2256900000000002</v>
          </cell>
        </row>
        <row r="81">
          <cell r="A81">
            <v>6.1659500190000003</v>
          </cell>
          <cell r="B81">
            <v>7.3341000000000003</v>
          </cell>
        </row>
        <row r="82">
          <cell r="A82">
            <v>6.3095734449999998</v>
          </cell>
          <cell r="B82">
            <v>7.4402200000000001</v>
          </cell>
        </row>
        <row r="83">
          <cell r="A83">
            <v>6.4565422899999998</v>
          </cell>
          <cell r="B83">
            <v>7.5440399999999999</v>
          </cell>
        </row>
        <row r="84">
          <cell r="A84">
            <v>6.6069344799999996</v>
          </cell>
          <cell r="B84">
            <v>7.6455599999999997</v>
          </cell>
        </row>
        <row r="85">
          <cell r="A85">
            <v>6.7608297540000004</v>
          </cell>
          <cell r="B85">
            <v>7.7447800000000004</v>
          </cell>
        </row>
        <row r="86">
          <cell r="A86">
            <v>6.9183097089999999</v>
          </cell>
          <cell r="B86">
            <v>7.8416899999999998</v>
          </cell>
        </row>
        <row r="87">
          <cell r="A87">
            <v>7.0794578440000002</v>
          </cell>
          <cell r="B87">
            <v>7.9363099999999998</v>
          </cell>
        </row>
        <row r="88">
          <cell r="A88">
            <v>7.2443596010000002</v>
          </cell>
          <cell r="B88">
            <v>8.0286399999999993</v>
          </cell>
        </row>
        <row r="89">
          <cell r="A89">
            <v>7.4131024129999998</v>
          </cell>
          <cell r="B89">
            <v>8.1186799999999995</v>
          </cell>
        </row>
        <row r="90">
          <cell r="A90">
            <v>7.5857757499999998</v>
          </cell>
          <cell r="B90">
            <v>8.2064500000000002</v>
          </cell>
        </row>
        <row r="91">
          <cell r="A91">
            <v>7.7624711660000001</v>
          </cell>
          <cell r="B91">
            <v>8.2919499999999999</v>
          </cell>
        </row>
        <row r="92">
          <cell r="A92">
            <v>7.9432823470000002</v>
          </cell>
          <cell r="B92">
            <v>8.3752099999999992</v>
          </cell>
        </row>
        <row r="93">
          <cell r="A93">
            <v>8.1283051620000002</v>
          </cell>
          <cell r="B93">
            <v>8.4562399999999993</v>
          </cell>
        </row>
        <row r="94">
          <cell r="A94">
            <v>8.3176377109999997</v>
          </cell>
          <cell r="B94">
            <v>8.5350699999999993</v>
          </cell>
        </row>
        <row r="95">
          <cell r="A95">
            <v>8.5113803820000005</v>
          </cell>
          <cell r="B95">
            <v>8.6117000000000008</v>
          </cell>
        </row>
        <row r="96">
          <cell r="A96">
            <v>8.7096359000000003</v>
          </cell>
          <cell r="B96">
            <v>8.6861700000000006</v>
          </cell>
        </row>
        <row r="97">
          <cell r="A97">
            <v>8.9125093809999996</v>
          </cell>
          <cell r="B97">
            <v>8.7584999999999997</v>
          </cell>
        </row>
        <row r="98">
          <cell r="A98">
            <v>9.1201083940000007</v>
          </cell>
          <cell r="B98">
            <v>8.8287099999999992</v>
          </cell>
        </row>
        <row r="99">
          <cell r="A99">
            <v>9.332543008</v>
          </cell>
          <cell r="B99">
            <v>8.8968500000000006</v>
          </cell>
        </row>
        <row r="100">
          <cell r="A100">
            <v>9.5499258600000001</v>
          </cell>
          <cell r="B100">
            <v>8.9629300000000001</v>
          </cell>
        </row>
        <row r="101">
          <cell r="A101">
            <v>9.7723722100000003</v>
          </cell>
          <cell r="B101">
            <v>9.02698</v>
          </cell>
        </row>
        <row r="102">
          <cell r="A102">
            <v>10</v>
          </cell>
          <cell r="B102">
            <v>9.0890599999999999</v>
          </cell>
        </row>
        <row r="103">
          <cell r="A103">
            <v>10.23292992</v>
          </cell>
          <cell r="B103">
            <v>9.1491699999999998</v>
          </cell>
        </row>
        <row r="104">
          <cell r="A104">
            <v>10.471285480000001</v>
          </cell>
          <cell r="B104">
            <v>9.2073699999999992</v>
          </cell>
        </row>
        <row r="105">
          <cell r="A105">
            <v>10.71519305</v>
          </cell>
          <cell r="B105">
            <v>9.2636900000000004</v>
          </cell>
        </row>
        <row r="106">
          <cell r="A106">
            <v>10.96478196</v>
          </cell>
          <cell r="B106">
            <v>9.3181600000000007</v>
          </cell>
        </row>
        <row r="107">
          <cell r="A107">
            <v>11.22018454</v>
          </cell>
          <cell r="B107">
            <v>9.3708200000000001</v>
          </cell>
        </row>
        <row r="108">
          <cell r="A108">
            <v>11.48153621</v>
          </cell>
          <cell r="B108">
            <v>9.4217200000000005</v>
          </cell>
        </row>
        <row r="109">
          <cell r="A109">
            <v>11.748975550000001</v>
          </cell>
          <cell r="B109">
            <v>9.4708900000000007</v>
          </cell>
        </row>
        <row r="110">
          <cell r="A110">
            <v>12.02264435</v>
          </cell>
          <cell r="B110">
            <v>9.5183800000000005</v>
          </cell>
        </row>
        <row r="111">
          <cell r="A111">
            <v>12.302687710000001</v>
          </cell>
          <cell r="B111">
            <v>9.5642099999999992</v>
          </cell>
        </row>
        <row r="112">
          <cell r="A112">
            <v>12.58925412</v>
          </cell>
          <cell r="B112">
            <v>9.6084399999999999</v>
          </cell>
        </row>
        <row r="113">
          <cell r="A113">
            <v>12.882495520000001</v>
          </cell>
          <cell r="B113">
            <v>9.6511099999999992</v>
          </cell>
        </row>
        <row r="114">
          <cell r="A114">
            <v>13.182567390000001</v>
          </cell>
          <cell r="B114">
            <v>9.6922499999999996</v>
          </cell>
        </row>
        <row r="115">
          <cell r="A115">
            <v>13.489628829999999</v>
          </cell>
          <cell r="B115">
            <v>9.7318999999999996</v>
          </cell>
        </row>
        <row r="116">
          <cell r="A116">
            <v>13.80384265</v>
          </cell>
          <cell r="B116">
            <v>9.7701100000000007</v>
          </cell>
        </row>
        <row r="117">
          <cell r="A117">
            <v>14.12537545</v>
          </cell>
          <cell r="B117">
            <v>9.8069199999999999</v>
          </cell>
        </row>
        <row r="118">
          <cell r="A118">
            <v>14.45439771</v>
          </cell>
          <cell r="B118">
            <v>9.8423599999999993</v>
          </cell>
        </row>
        <row r="119">
          <cell r="A119">
            <v>14.79108388</v>
          </cell>
          <cell r="B119">
            <v>9.8764900000000004</v>
          </cell>
        </row>
        <row r="120">
          <cell r="A120">
            <v>15.135612480000001</v>
          </cell>
          <cell r="B120">
            <v>9.9093199999999992</v>
          </cell>
        </row>
        <row r="121">
          <cell r="A121">
            <v>15.488166189999999</v>
          </cell>
          <cell r="B121">
            <v>9.9409200000000002</v>
          </cell>
        </row>
        <row r="122">
          <cell r="A122">
            <v>15.84893192</v>
          </cell>
          <cell r="B122">
            <v>9.9712999999999994</v>
          </cell>
        </row>
        <row r="123">
          <cell r="A123">
            <v>16.218100969999998</v>
          </cell>
          <cell r="B123">
            <v>10.000500000000001</v>
          </cell>
        </row>
        <row r="124">
          <cell r="A124">
            <v>16.595869069999999</v>
          </cell>
          <cell r="B124">
            <v>10.028600000000001</v>
          </cell>
        </row>
        <row r="125">
          <cell r="A125">
            <v>16.98243652</v>
          </cell>
          <cell r="B125">
            <v>10.0556</v>
          </cell>
        </row>
        <row r="126">
          <cell r="A126">
            <v>17.37800829</v>
          </cell>
          <cell r="B126">
            <v>10.0815</v>
          </cell>
        </row>
        <row r="127">
          <cell r="A127">
            <v>17.7827941</v>
          </cell>
          <cell r="B127">
            <v>10.1065</v>
          </cell>
        </row>
        <row r="128">
          <cell r="A128">
            <v>18.197008589999999</v>
          </cell>
          <cell r="B128">
            <v>10.1304</v>
          </cell>
        </row>
        <row r="129">
          <cell r="A129">
            <v>18.62087137</v>
          </cell>
          <cell r="B129">
            <v>10.1534</v>
          </cell>
        </row>
        <row r="130">
          <cell r="A130">
            <v>19.054607180000001</v>
          </cell>
          <cell r="B130">
            <v>10.1754</v>
          </cell>
        </row>
        <row r="131">
          <cell r="A131">
            <v>19.498446000000001</v>
          </cell>
          <cell r="B131">
            <v>10.1966</v>
          </cell>
        </row>
        <row r="132">
          <cell r="A132">
            <v>19.952623150000001</v>
          </cell>
          <cell r="B132">
            <v>10.216900000000001</v>
          </cell>
        </row>
        <row r="133">
          <cell r="A133">
            <v>20.417379449999999</v>
          </cell>
          <cell r="B133">
            <v>10.2364</v>
          </cell>
        </row>
        <row r="134">
          <cell r="A134">
            <v>20.89296131</v>
          </cell>
          <cell r="B134">
            <v>10.255100000000001</v>
          </cell>
        </row>
        <row r="135">
          <cell r="A135">
            <v>21.379620899999999</v>
          </cell>
          <cell r="B135">
            <v>10.273</v>
          </cell>
        </row>
        <row r="136">
          <cell r="A136">
            <v>21.877616239999998</v>
          </cell>
          <cell r="B136">
            <v>10.2902</v>
          </cell>
        </row>
        <row r="137">
          <cell r="A137">
            <v>22.387211390000001</v>
          </cell>
          <cell r="B137">
            <v>10.306699999999999</v>
          </cell>
        </row>
        <row r="138">
          <cell r="A138">
            <v>22.908676530000001</v>
          </cell>
          <cell r="B138">
            <v>10.3225</v>
          </cell>
        </row>
        <row r="139">
          <cell r="A139">
            <v>23.44228815</v>
          </cell>
          <cell r="B139">
            <v>10.3376</v>
          </cell>
        </row>
        <row r="140">
          <cell r="A140">
            <v>23.988329190000002</v>
          </cell>
          <cell r="B140">
            <v>10.3521</v>
          </cell>
        </row>
        <row r="141">
          <cell r="A141">
            <v>24.547089159999999</v>
          </cell>
          <cell r="B141">
            <v>10.366</v>
          </cell>
        </row>
        <row r="142">
          <cell r="A142">
            <v>25.11886432</v>
          </cell>
          <cell r="B142">
            <v>10.379300000000001</v>
          </cell>
        </row>
        <row r="143">
          <cell r="A143">
            <v>25.70395783</v>
          </cell>
          <cell r="B143">
            <v>10.392099999999999</v>
          </cell>
        </row>
        <row r="144">
          <cell r="A144">
            <v>26.302679919999999</v>
          </cell>
          <cell r="B144">
            <v>10.404299999999999</v>
          </cell>
        </row>
        <row r="145">
          <cell r="A145">
            <v>26.915348040000001</v>
          </cell>
          <cell r="B145">
            <v>10.416</v>
          </cell>
        </row>
        <row r="146">
          <cell r="A146">
            <v>27.542287030000001</v>
          </cell>
          <cell r="B146">
            <v>10.427199999999999</v>
          </cell>
        </row>
        <row r="147">
          <cell r="A147">
            <v>28.18382931</v>
          </cell>
          <cell r="B147">
            <v>10.437900000000001</v>
          </cell>
        </row>
        <row r="148">
          <cell r="A148">
            <v>28.840315029999999</v>
          </cell>
          <cell r="B148">
            <v>10.4482</v>
          </cell>
        </row>
        <row r="149">
          <cell r="A149">
            <v>29.51209227</v>
          </cell>
          <cell r="B149">
            <v>10.458</v>
          </cell>
        </row>
        <row r="150">
          <cell r="A150">
            <v>30.199517199999999</v>
          </cell>
          <cell r="B150">
            <v>10.4674</v>
          </cell>
        </row>
        <row r="151">
          <cell r="A151">
            <v>30.90295433</v>
          </cell>
          <cell r="B151">
            <v>10.4764</v>
          </cell>
        </row>
        <row r="152">
          <cell r="A152">
            <v>31.622776600000002</v>
          </cell>
          <cell r="B152">
            <v>10.484999999999999</v>
          </cell>
        </row>
        <row r="153">
          <cell r="A153">
            <v>32.359365689999997</v>
          </cell>
          <cell r="B153">
            <v>10.4933</v>
          </cell>
        </row>
        <row r="154">
          <cell r="A154">
            <v>33.113112149999999</v>
          </cell>
          <cell r="B154">
            <v>10.501200000000001</v>
          </cell>
        </row>
        <row r="155">
          <cell r="A155">
            <v>33.884415609999998</v>
          </cell>
          <cell r="B155">
            <v>10.508699999999999</v>
          </cell>
        </row>
        <row r="156">
          <cell r="A156">
            <v>34.673685050000003</v>
          </cell>
          <cell r="B156">
            <v>10.5159</v>
          </cell>
        </row>
        <row r="157">
          <cell r="A157">
            <v>35.481338919999999</v>
          </cell>
          <cell r="B157">
            <v>10.5228</v>
          </cell>
        </row>
        <row r="158">
          <cell r="A158">
            <v>36.307805479999999</v>
          </cell>
          <cell r="B158">
            <v>10.529400000000001</v>
          </cell>
        </row>
        <row r="159">
          <cell r="A159">
            <v>37.15352291</v>
          </cell>
          <cell r="B159">
            <v>10.5357</v>
          </cell>
        </row>
        <row r="160">
          <cell r="A160">
            <v>38.018939629999998</v>
          </cell>
          <cell r="B160">
            <v>10.5418</v>
          </cell>
        </row>
        <row r="161">
          <cell r="A161">
            <v>38.904514499999998</v>
          </cell>
          <cell r="B161">
            <v>10.547499999999999</v>
          </cell>
        </row>
        <row r="162">
          <cell r="A162">
            <v>39.810717060000002</v>
          </cell>
          <cell r="B162">
            <v>10.553100000000001</v>
          </cell>
        </row>
        <row r="163">
          <cell r="A163">
            <v>40.738027780000003</v>
          </cell>
          <cell r="B163">
            <v>10.558400000000001</v>
          </cell>
        </row>
        <row r="164">
          <cell r="A164">
            <v>41.686938349999998</v>
          </cell>
          <cell r="B164">
            <v>10.5634</v>
          </cell>
        </row>
        <row r="165">
          <cell r="A165">
            <v>42.657951879999999</v>
          </cell>
          <cell r="B165">
            <v>10.568199999999999</v>
          </cell>
        </row>
        <row r="166">
          <cell r="A166">
            <v>43.651583219999999</v>
          </cell>
          <cell r="B166">
            <v>10.572800000000001</v>
          </cell>
        </row>
        <row r="167">
          <cell r="A167">
            <v>44.668359219999999</v>
          </cell>
          <cell r="B167">
            <v>10.577299999999999</v>
          </cell>
        </row>
        <row r="168">
          <cell r="A168">
            <v>45.708818960000002</v>
          </cell>
          <cell r="B168">
            <v>10.5815</v>
          </cell>
        </row>
        <row r="169">
          <cell r="A169">
            <v>46.773514130000002</v>
          </cell>
          <cell r="B169">
            <v>10.5855</v>
          </cell>
        </row>
        <row r="170">
          <cell r="A170">
            <v>47.863009230000003</v>
          </cell>
          <cell r="B170">
            <v>10.589399999999999</v>
          </cell>
        </row>
        <row r="171">
          <cell r="A171">
            <v>48.977881940000003</v>
          </cell>
          <cell r="B171">
            <v>10.593</v>
          </cell>
        </row>
        <row r="172">
          <cell r="A172">
            <v>50.118723359999997</v>
          </cell>
          <cell r="B172">
            <v>10.5966</v>
          </cell>
        </row>
        <row r="173">
          <cell r="A173">
            <v>51.286138399999999</v>
          </cell>
          <cell r="B173">
            <v>10.5999</v>
          </cell>
        </row>
        <row r="174">
          <cell r="A174">
            <v>52.480746019999998</v>
          </cell>
          <cell r="B174">
            <v>10.6031</v>
          </cell>
        </row>
        <row r="175">
          <cell r="A175">
            <v>53.703179640000002</v>
          </cell>
          <cell r="B175">
            <v>10.606199999999999</v>
          </cell>
        </row>
        <row r="176">
          <cell r="A176">
            <v>54.954087389999998</v>
          </cell>
          <cell r="B176">
            <v>10.6091</v>
          </cell>
        </row>
        <row r="177">
          <cell r="A177">
            <v>56.234132520000003</v>
          </cell>
          <cell r="B177">
            <v>10.6119</v>
          </cell>
        </row>
        <row r="178">
          <cell r="A178">
            <v>57.543993729999997</v>
          </cell>
          <cell r="B178">
            <v>10.614599999999999</v>
          </cell>
        </row>
        <row r="179">
          <cell r="A179">
            <v>58.884365539999997</v>
          </cell>
          <cell r="B179">
            <v>10.6172</v>
          </cell>
        </row>
        <row r="180">
          <cell r="A180">
            <v>60.25595861</v>
          </cell>
          <cell r="B180">
            <v>10.6196</v>
          </cell>
        </row>
        <row r="181">
          <cell r="A181">
            <v>61.659500190000003</v>
          </cell>
          <cell r="B181">
            <v>10.622</v>
          </cell>
        </row>
        <row r="182">
          <cell r="A182">
            <v>63.095734450000002</v>
          </cell>
          <cell r="B182">
            <v>10.6242</v>
          </cell>
        </row>
        <row r="183">
          <cell r="A183">
            <v>64.565422900000002</v>
          </cell>
          <cell r="B183">
            <v>10.626300000000001</v>
          </cell>
        </row>
        <row r="184">
          <cell r="A184">
            <v>66.069344799999996</v>
          </cell>
          <cell r="B184">
            <v>10.628399999999999</v>
          </cell>
        </row>
        <row r="185">
          <cell r="A185">
            <v>67.608297539999995</v>
          </cell>
          <cell r="B185">
            <v>10.6303</v>
          </cell>
        </row>
        <row r="186">
          <cell r="A186">
            <v>69.183097090000004</v>
          </cell>
          <cell r="B186">
            <v>10.632199999999999</v>
          </cell>
        </row>
        <row r="187">
          <cell r="A187">
            <v>70.794578439999995</v>
          </cell>
          <cell r="B187">
            <v>10.634</v>
          </cell>
        </row>
        <row r="188">
          <cell r="A188">
            <v>72.443596009999993</v>
          </cell>
          <cell r="B188">
            <v>10.6357</v>
          </cell>
        </row>
        <row r="189">
          <cell r="A189">
            <v>74.13102413</v>
          </cell>
          <cell r="B189">
            <v>10.6373</v>
          </cell>
        </row>
        <row r="190">
          <cell r="A190">
            <v>75.857757500000005</v>
          </cell>
          <cell r="B190">
            <v>10.6388</v>
          </cell>
        </row>
        <row r="191">
          <cell r="A191">
            <v>77.624711660000003</v>
          </cell>
          <cell r="B191">
            <v>10.6403</v>
          </cell>
        </row>
        <row r="192">
          <cell r="A192">
            <v>79.432823470000002</v>
          </cell>
          <cell r="B192">
            <v>10.6417</v>
          </cell>
        </row>
        <row r="193">
          <cell r="A193">
            <v>81.283051619999995</v>
          </cell>
          <cell r="B193">
            <v>10.6431</v>
          </cell>
        </row>
        <row r="194">
          <cell r="A194">
            <v>83.176377110000004</v>
          </cell>
          <cell r="B194">
            <v>10.644399999999999</v>
          </cell>
        </row>
        <row r="195">
          <cell r="A195">
            <v>85.113803820000001</v>
          </cell>
          <cell r="B195">
            <v>10.6456</v>
          </cell>
        </row>
        <row r="196">
          <cell r="A196">
            <v>87.096359000000007</v>
          </cell>
          <cell r="B196">
            <v>10.646800000000001</v>
          </cell>
        </row>
        <row r="197">
          <cell r="A197">
            <v>89.125093809999996</v>
          </cell>
          <cell r="B197">
            <v>10.6479</v>
          </cell>
        </row>
        <row r="198">
          <cell r="A198">
            <v>91.201083940000004</v>
          </cell>
          <cell r="B198">
            <v>10.648999999999999</v>
          </cell>
        </row>
        <row r="199">
          <cell r="A199">
            <v>93.325430080000004</v>
          </cell>
          <cell r="B199">
            <v>10.65</v>
          </cell>
        </row>
        <row r="200">
          <cell r="A200">
            <v>95.499258600000005</v>
          </cell>
          <cell r="B200">
            <v>10.651</v>
          </cell>
        </row>
        <row r="201">
          <cell r="A201">
            <v>97.723722100000003</v>
          </cell>
          <cell r="B201">
            <v>10.651899999999999</v>
          </cell>
        </row>
        <row r="202">
          <cell r="A202">
            <v>100</v>
          </cell>
          <cell r="B202">
            <v>10.652799999999999</v>
          </cell>
        </row>
        <row r="203">
          <cell r="A203">
            <v>102.32929919999999</v>
          </cell>
          <cell r="B203">
            <v>10.653700000000001</v>
          </cell>
        </row>
        <row r="204">
          <cell r="A204">
            <v>104.7128548</v>
          </cell>
          <cell r="B204">
            <v>10.654500000000001</v>
          </cell>
        </row>
        <row r="205">
          <cell r="A205">
            <v>107.15193050000001</v>
          </cell>
          <cell r="B205">
            <v>10.6553</v>
          </cell>
        </row>
        <row r="206">
          <cell r="A206">
            <v>109.64781960000001</v>
          </cell>
          <cell r="B206">
            <v>10.656000000000001</v>
          </cell>
        </row>
        <row r="207">
          <cell r="A207">
            <v>112.2018454</v>
          </cell>
          <cell r="B207">
            <v>10.656700000000001</v>
          </cell>
        </row>
        <row r="208">
          <cell r="A208">
            <v>114.8153621</v>
          </cell>
          <cell r="B208">
            <v>10.657400000000001</v>
          </cell>
        </row>
        <row r="209">
          <cell r="A209">
            <v>117.4897555</v>
          </cell>
          <cell r="B209">
            <v>10.657999999999999</v>
          </cell>
        </row>
        <row r="210">
          <cell r="A210">
            <v>120.2264435</v>
          </cell>
          <cell r="B210">
            <v>10.6587</v>
          </cell>
        </row>
        <row r="211">
          <cell r="A211">
            <v>123.02687709999999</v>
          </cell>
          <cell r="B211">
            <v>10.6593</v>
          </cell>
        </row>
        <row r="212">
          <cell r="A212">
            <v>125.8925412</v>
          </cell>
          <cell r="B212">
            <v>10.659800000000001</v>
          </cell>
        </row>
        <row r="213">
          <cell r="A213">
            <v>128.82495520000001</v>
          </cell>
          <cell r="B213">
            <v>10.660399999999999</v>
          </cell>
        </row>
        <row r="214">
          <cell r="A214">
            <v>131.8256739</v>
          </cell>
          <cell r="B214">
            <v>10.6609</v>
          </cell>
        </row>
        <row r="215">
          <cell r="A215">
            <v>134.89628830000001</v>
          </cell>
          <cell r="B215">
            <v>10.6614</v>
          </cell>
        </row>
        <row r="216">
          <cell r="A216">
            <v>138.03842650000001</v>
          </cell>
          <cell r="B216">
            <v>10.661799999999999</v>
          </cell>
        </row>
        <row r="217">
          <cell r="A217">
            <v>141.25375450000001</v>
          </cell>
          <cell r="B217">
            <v>10.6623</v>
          </cell>
        </row>
        <row r="218">
          <cell r="A218">
            <v>144.54397710000001</v>
          </cell>
          <cell r="B218">
            <v>10.662699999999999</v>
          </cell>
        </row>
        <row r="219">
          <cell r="A219">
            <v>147.91083879999999</v>
          </cell>
          <cell r="B219">
            <v>10.6631</v>
          </cell>
        </row>
        <row r="220">
          <cell r="A220">
            <v>151.3561248</v>
          </cell>
          <cell r="B220">
            <v>10.663500000000001</v>
          </cell>
        </row>
        <row r="221">
          <cell r="A221">
            <v>154.88166190000001</v>
          </cell>
          <cell r="B221">
            <v>10.6639</v>
          </cell>
        </row>
        <row r="222">
          <cell r="A222">
            <v>158.48931920000001</v>
          </cell>
          <cell r="B222">
            <v>10.664199999999999</v>
          </cell>
        </row>
        <row r="223">
          <cell r="A223">
            <v>162.1810097</v>
          </cell>
          <cell r="B223">
            <v>10.6645</v>
          </cell>
        </row>
        <row r="224">
          <cell r="A224">
            <v>165.95869070000001</v>
          </cell>
          <cell r="B224">
            <v>10.664899999999999</v>
          </cell>
        </row>
        <row r="225">
          <cell r="A225">
            <v>169.82436519999999</v>
          </cell>
          <cell r="B225">
            <v>10.6652</v>
          </cell>
        </row>
        <row r="226">
          <cell r="A226">
            <v>173.7800829</v>
          </cell>
          <cell r="B226">
            <v>10.6655</v>
          </cell>
        </row>
        <row r="227">
          <cell r="A227">
            <v>177.82794100000001</v>
          </cell>
          <cell r="B227">
            <v>10.665699999999999</v>
          </cell>
        </row>
        <row r="228">
          <cell r="A228">
            <v>181.97008589999999</v>
          </cell>
          <cell r="B228">
            <v>10.666</v>
          </cell>
        </row>
        <row r="229">
          <cell r="A229">
            <v>186.2087137</v>
          </cell>
          <cell r="B229">
            <v>10.6662</v>
          </cell>
        </row>
        <row r="230">
          <cell r="A230">
            <v>190.54607179999999</v>
          </cell>
          <cell r="B230">
            <v>10.666499999999999</v>
          </cell>
        </row>
        <row r="231">
          <cell r="A231">
            <v>194.98446000000001</v>
          </cell>
          <cell r="B231">
            <v>10.666700000000001</v>
          </cell>
        </row>
        <row r="232">
          <cell r="A232">
            <v>199.52623149999999</v>
          </cell>
          <cell r="B232">
            <v>10.6669</v>
          </cell>
        </row>
        <row r="233">
          <cell r="A233">
            <v>204.17379450000001</v>
          </cell>
          <cell r="B233">
            <v>10.6671</v>
          </cell>
        </row>
        <row r="234">
          <cell r="A234">
            <v>208.92961310000001</v>
          </cell>
          <cell r="B234">
            <v>10.667299999999999</v>
          </cell>
        </row>
        <row r="235">
          <cell r="A235">
            <v>213.796209</v>
          </cell>
          <cell r="B235">
            <v>10.6675</v>
          </cell>
        </row>
        <row r="236">
          <cell r="A236">
            <v>218.7761624</v>
          </cell>
          <cell r="B236">
            <v>10.6677</v>
          </cell>
        </row>
        <row r="237">
          <cell r="A237">
            <v>223.87211389999999</v>
          </cell>
          <cell r="B237">
            <v>10.6678</v>
          </cell>
        </row>
        <row r="238">
          <cell r="A238">
            <v>229.0867653</v>
          </cell>
          <cell r="B238">
            <v>10.667999999999999</v>
          </cell>
        </row>
        <row r="239">
          <cell r="A239">
            <v>234.42288149999999</v>
          </cell>
          <cell r="B239">
            <v>10.668200000000001</v>
          </cell>
        </row>
        <row r="240">
          <cell r="A240">
            <v>239.88329189999999</v>
          </cell>
          <cell r="B240">
            <v>10.6683</v>
          </cell>
        </row>
        <row r="241">
          <cell r="A241">
            <v>245.47089159999999</v>
          </cell>
          <cell r="B241">
            <v>10.6684</v>
          </cell>
        </row>
        <row r="242">
          <cell r="A242">
            <v>251.1886432</v>
          </cell>
          <cell r="B242">
            <v>10.6686</v>
          </cell>
        </row>
        <row r="243">
          <cell r="A243">
            <v>257.03957830000002</v>
          </cell>
          <cell r="B243">
            <v>10.668699999999999</v>
          </cell>
        </row>
        <row r="244">
          <cell r="A244">
            <v>263.02679920000003</v>
          </cell>
          <cell r="B244">
            <v>10.668799999999999</v>
          </cell>
        </row>
        <row r="245">
          <cell r="A245">
            <v>269.15348039999998</v>
          </cell>
          <cell r="B245">
            <v>10.668900000000001</v>
          </cell>
        </row>
        <row r="246">
          <cell r="A246">
            <v>275.4228703</v>
          </cell>
          <cell r="B246">
            <v>10.669</v>
          </cell>
        </row>
        <row r="247">
          <cell r="A247">
            <v>281.83829309999999</v>
          </cell>
          <cell r="B247">
            <v>10.6691</v>
          </cell>
        </row>
        <row r="248">
          <cell r="A248">
            <v>288.40315029999999</v>
          </cell>
          <cell r="B248">
            <v>10.6692</v>
          </cell>
        </row>
        <row r="249">
          <cell r="A249">
            <v>295.12092269999999</v>
          </cell>
          <cell r="B249">
            <v>10.6693</v>
          </cell>
        </row>
        <row r="250">
          <cell r="A250">
            <v>301.99517200000003</v>
          </cell>
          <cell r="B250">
            <v>10.6693</v>
          </cell>
        </row>
        <row r="251">
          <cell r="A251">
            <v>309.0295433</v>
          </cell>
          <cell r="B251">
            <v>10.6694</v>
          </cell>
        </row>
        <row r="252">
          <cell r="A252">
            <v>316.22776599999997</v>
          </cell>
          <cell r="B252">
            <v>10.669499999999999</v>
          </cell>
        </row>
        <row r="253">
          <cell r="A253">
            <v>323.59365689999998</v>
          </cell>
          <cell r="B253">
            <v>10.669499999999999</v>
          </cell>
        </row>
        <row r="254">
          <cell r="A254">
            <v>331.13112150000001</v>
          </cell>
          <cell r="B254">
            <v>10.669600000000001</v>
          </cell>
        </row>
        <row r="255">
          <cell r="A255">
            <v>338.84415610000002</v>
          </cell>
          <cell r="B255">
            <v>10.669600000000001</v>
          </cell>
        </row>
        <row r="256">
          <cell r="A256">
            <v>346.7368505</v>
          </cell>
          <cell r="B256">
            <v>10.669700000000001</v>
          </cell>
        </row>
        <row r="257">
          <cell r="A257">
            <v>354.81338920000002</v>
          </cell>
          <cell r="B257">
            <v>10.669700000000001</v>
          </cell>
        </row>
        <row r="258">
          <cell r="A258">
            <v>363.07805480000002</v>
          </cell>
          <cell r="B258">
            <v>10.669700000000001</v>
          </cell>
        </row>
        <row r="259">
          <cell r="A259">
            <v>371.53522909999998</v>
          </cell>
          <cell r="B259">
            <v>10.6698</v>
          </cell>
        </row>
        <row r="260">
          <cell r="A260">
            <v>380.1893963</v>
          </cell>
          <cell r="B260">
            <v>10.6698</v>
          </cell>
        </row>
        <row r="261">
          <cell r="A261">
            <v>389.04514499999999</v>
          </cell>
          <cell r="B261">
            <v>10.6698</v>
          </cell>
        </row>
        <row r="262">
          <cell r="A262">
            <v>398.10717060000002</v>
          </cell>
          <cell r="B262">
            <v>10.6698</v>
          </cell>
        </row>
        <row r="263">
          <cell r="A263">
            <v>407.38027779999999</v>
          </cell>
          <cell r="B263">
            <v>10.6699</v>
          </cell>
        </row>
        <row r="264">
          <cell r="A264">
            <v>416.86938350000003</v>
          </cell>
          <cell r="B264">
            <v>10.6699</v>
          </cell>
        </row>
        <row r="265">
          <cell r="A265">
            <v>426.57951880000002</v>
          </cell>
          <cell r="B265">
            <v>10.6699</v>
          </cell>
        </row>
        <row r="266">
          <cell r="A266">
            <v>436.51583219999998</v>
          </cell>
          <cell r="B266">
            <v>10.6699</v>
          </cell>
        </row>
        <row r="267">
          <cell r="A267">
            <v>446.68359220000002</v>
          </cell>
          <cell r="B267">
            <v>10.6699</v>
          </cell>
        </row>
        <row r="268">
          <cell r="A268">
            <v>457.08818960000002</v>
          </cell>
          <cell r="B268">
            <v>10.6698</v>
          </cell>
        </row>
        <row r="269">
          <cell r="A269">
            <v>467.73514130000001</v>
          </cell>
          <cell r="B269">
            <v>10.6698</v>
          </cell>
        </row>
        <row r="270">
          <cell r="A270">
            <v>478.6300923</v>
          </cell>
          <cell r="B270">
            <v>10.6698</v>
          </cell>
        </row>
        <row r="271">
          <cell r="A271">
            <v>489.77881939999997</v>
          </cell>
          <cell r="B271">
            <v>10.6698</v>
          </cell>
        </row>
        <row r="272">
          <cell r="A272">
            <v>501.18723360000001</v>
          </cell>
          <cell r="B272">
            <v>10.6698</v>
          </cell>
        </row>
        <row r="273">
          <cell r="A273">
            <v>512.86138400000004</v>
          </cell>
          <cell r="B273">
            <v>10.669700000000001</v>
          </cell>
        </row>
        <row r="274">
          <cell r="A274">
            <v>524.80746020000004</v>
          </cell>
          <cell r="B274">
            <v>10.669700000000001</v>
          </cell>
        </row>
        <row r="275">
          <cell r="A275">
            <v>537.03179639999996</v>
          </cell>
          <cell r="B275">
            <v>10.669700000000001</v>
          </cell>
        </row>
        <row r="276">
          <cell r="A276">
            <v>549.54087389999995</v>
          </cell>
          <cell r="B276">
            <v>10.669600000000001</v>
          </cell>
        </row>
        <row r="277">
          <cell r="A277">
            <v>562.34132520000003</v>
          </cell>
          <cell r="B277">
            <v>10.669600000000001</v>
          </cell>
        </row>
        <row r="278">
          <cell r="A278">
            <v>575.4399373</v>
          </cell>
          <cell r="B278">
            <v>10.669499999999999</v>
          </cell>
        </row>
        <row r="279">
          <cell r="A279">
            <v>588.84365539999999</v>
          </cell>
          <cell r="B279">
            <v>10.6694</v>
          </cell>
        </row>
        <row r="280">
          <cell r="A280">
            <v>602.55958610000005</v>
          </cell>
          <cell r="B280">
            <v>10.6694</v>
          </cell>
        </row>
        <row r="281">
          <cell r="A281">
            <v>616.59500190000006</v>
          </cell>
          <cell r="B281">
            <v>10.6693</v>
          </cell>
        </row>
        <row r="282">
          <cell r="A282">
            <v>630.95734449999998</v>
          </cell>
          <cell r="B282">
            <v>10.6692</v>
          </cell>
        </row>
        <row r="283">
          <cell r="A283">
            <v>645.65422899999999</v>
          </cell>
          <cell r="B283">
            <v>10.6691</v>
          </cell>
        </row>
        <row r="284">
          <cell r="A284">
            <v>660.69344799999999</v>
          </cell>
          <cell r="B284">
            <v>10.669</v>
          </cell>
        </row>
        <row r="285">
          <cell r="A285">
            <v>676.08297540000001</v>
          </cell>
          <cell r="B285">
            <v>10.668900000000001</v>
          </cell>
        </row>
        <row r="286">
          <cell r="A286">
            <v>691.83097090000001</v>
          </cell>
          <cell r="B286">
            <v>10.668799999999999</v>
          </cell>
        </row>
        <row r="287">
          <cell r="A287">
            <v>707.94578439999998</v>
          </cell>
          <cell r="B287">
            <v>10.668699999999999</v>
          </cell>
        </row>
        <row r="288">
          <cell r="A288">
            <v>724.43596009999999</v>
          </cell>
          <cell r="B288">
            <v>10.6686</v>
          </cell>
        </row>
        <row r="289">
          <cell r="A289">
            <v>741.31024130000003</v>
          </cell>
          <cell r="B289">
            <v>10.6685</v>
          </cell>
        </row>
        <row r="290">
          <cell r="A290">
            <v>758.57757500000002</v>
          </cell>
          <cell r="B290">
            <v>10.6684</v>
          </cell>
        </row>
        <row r="291">
          <cell r="A291">
            <v>776.24711660000003</v>
          </cell>
          <cell r="B291">
            <v>10.668200000000001</v>
          </cell>
        </row>
        <row r="292">
          <cell r="A292">
            <v>794.32823470000005</v>
          </cell>
          <cell r="B292">
            <v>10.668100000000001</v>
          </cell>
        </row>
        <row r="293">
          <cell r="A293">
            <v>812.83051620000003</v>
          </cell>
          <cell r="B293">
            <v>10.667899999999999</v>
          </cell>
        </row>
        <row r="294">
          <cell r="A294">
            <v>831.76377109999999</v>
          </cell>
          <cell r="B294">
            <v>10.6678</v>
          </cell>
        </row>
        <row r="295">
          <cell r="A295">
            <v>851.13803819999998</v>
          </cell>
          <cell r="B295">
            <v>10.6676</v>
          </cell>
        </row>
        <row r="296">
          <cell r="A296">
            <v>870.96358999999995</v>
          </cell>
          <cell r="B296">
            <v>10.667400000000001</v>
          </cell>
        </row>
        <row r="297">
          <cell r="A297">
            <v>891.25093809999998</v>
          </cell>
          <cell r="B297">
            <v>10.667199999999999</v>
          </cell>
        </row>
        <row r="298">
          <cell r="A298">
            <v>912.01083940000001</v>
          </cell>
          <cell r="B298">
            <v>10.667</v>
          </cell>
        </row>
        <row r="299">
          <cell r="A299">
            <v>933.25430080000001</v>
          </cell>
          <cell r="B299">
            <v>10.6668</v>
          </cell>
        </row>
        <row r="300">
          <cell r="A300">
            <v>954.99258599999996</v>
          </cell>
          <cell r="B300">
            <v>10.666600000000001</v>
          </cell>
        </row>
        <row r="301">
          <cell r="A301">
            <v>977.23722099999998</v>
          </cell>
          <cell r="B301">
            <v>10.666399999999999</v>
          </cell>
        </row>
        <row r="302">
          <cell r="A302">
            <v>1000</v>
          </cell>
          <cell r="B302">
            <v>10.6661</v>
          </cell>
        </row>
        <row r="303">
          <cell r="A303">
            <v>1023.292992</v>
          </cell>
          <cell r="B303">
            <v>10.665900000000001</v>
          </cell>
        </row>
        <row r="304">
          <cell r="A304">
            <v>1047.1285479999999</v>
          </cell>
          <cell r="B304">
            <v>10.6656</v>
          </cell>
        </row>
        <row r="305">
          <cell r="A305">
            <v>1071.519305</v>
          </cell>
          <cell r="B305">
            <v>10.6653</v>
          </cell>
        </row>
        <row r="306">
          <cell r="A306">
            <v>1096.478196</v>
          </cell>
          <cell r="B306">
            <v>10.664999999999999</v>
          </cell>
        </row>
        <row r="307">
          <cell r="A307">
            <v>1122.018454</v>
          </cell>
          <cell r="B307">
            <v>10.6647</v>
          </cell>
        </row>
        <row r="308">
          <cell r="A308">
            <v>1148.1536209999999</v>
          </cell>
          <cell r="B308">
            <v>10.664400000000001</v>
          </cell>
        </row>
        <row r="309">
          <cell r="A309">
            <v>1174.897555</v>
          </cell>
          <cell r="B309">
            <v>10.664</v>
          </cell>
        </row>
        <row r="310">
          <cell r="A310">
            <v>1202.264435</v>
          </cell>
          <cell r="B310">
            <v>10.6637</v>
          </cell>
        </row>
        <row r="311">
          <cell r="A311">
            <v>1230.268771</v>
          </cell>
          <cell r="B311">
            <v>10.6633</v>
          </cell>
        </row>
        <row r="312">
          <cell r="A312">
            <v>1258.9254120000001</v>
          </cell>
          <cell r="B312">
            <v>10.6629</v>
          </cell>
        </row>
        <row r="313">
          <cell r="A313">
            <v>1288.249552</v>
          </cell>
          <cell r="B313">
            <v>10.6625</v>
          </cell>
        </row>
        <row r="314">
          <cell r="A314">
            <v>1318.2567389999999</v>
          </cell>
          <cell r="B314">
            <v>10.662000000000001</v>
          </cell>
        </row>
        <row r="315">
          <cell r="A315">
            <v>1348.9628829999999</v>
          </cell>
          <cell r="B315">
            <v>10.6616</v>
          </cell>
        </row>
        <row r="316">
          <cell r="A316">
            <v>1380.3842649999999</v>
          </cell>
          <cell r="B316">
            <v>10.661099999999999</v>
          </cell>
        </row>
        <row r="317">
          <cell r="A317">
            <v>1412.5375449999999</v>
          </cell>
          <cell r="B317">
            <v>10.660600000000001</v>
          </cell>
        </row>
        <row r="318">
          <cell r="A318">
            <v>1445.4397710000001</v>
          </cell>
          <cell r="B318">
            <v>10.6601</v>
          </cell>
        </row>
        <row r="319">
          <cell r="A319">
            <v>1479.1083880000001</v>
          </cell>
          <cell r="B319">
            <v>10.6595</v>
          </cell>
        </row>
        <row r="320">
          <cell r="A320">
            <v>1513.561248</v>
          </cell>
          <cell r="B320">
            <v>10.659000000000001</v>
          </cell>
        </row>
        <row r="321">
          <cell r="A321">
            <v>1548.8166189999999</v>
          </cell>
          <cell r="B321">
            <v>10.6584</v>
          </cell>
        </row>
        <row r="322">
          <cell r="A322">
            <v>1584.893192</v>
          </cell>
          <cell r="B322">
            <v>10.6577</v>
          </cell>
        </row>
        <row r="323">
          <cell r="A323">
            <v>1621.810097</v>
          </cell>
          <cell r="B323">
            <v>10.6571</v>
          </cell>
        </row>
        <row r="324">
          <cell r="A324">
            <v>1659.5869070000001</v>
          </cell>
          <cell r="B324">
            <v>10.6564</v>
          </cell>
        </row>
        <row r="325">
          <cell r="A325">
            <v>1698.2436520000001</v>
          </cell>
          <cell r="B325">
            <v>10.6556</v>
          </cell>
        </row>
        <row r="326">
          <cell r="A326">
            <v>1737.800829</v>
          </cell>
          <cell r="B326">
            <v>10.6549</v>
          </cell>
        </row>
        <row r="327">
          <cell r="A327">
            <v>1778.2794100000001</v>
          </cell>
          <cell r="B327">
            <v>10.6541</v>
          </cell>
        </row>
        <row r="328">
          <cell r="A328">
            <v>1819.700859</v>
          </cell>
          <cell r="B328">
            <v>10.6533</v>
          </cell>
        </row>
        <row r="329">
          <cell r="A329">
            <v>1862.087137</v>
          </cell>
          <cell r="B329">
            <v>10.6524</v>
          </cell>
        </row>
        <row r="330">
          <cell r="A330">
            <v>1905.460718</v>
          </cell>
          <cell r="B330">
            <v>10.6515</v>
          </cell>
        </row>
        <row r="331">
          <cell r="A331">
            <v>1949.8445999999999</v>
          </cell>
          <cell r="B331">
            <v>10.650499999999999</v>
          </cell>
        </row>
        <row r="332">
          <cell r="A332">
            <v>1995.2623149999999</v>
          </cell>
          <cell r="B332">
            <v>10.6495</v>
          </cell>
        </row>
        <row r="333">
          <cell r="A333">
            <v>2041.7379450000001</v>
          </cell>
          <cell r="B333">
            <v>10.6485</v>
          </cell>
        </row>
        <row r="334">
          <cell r="A334">
            <v>2089.2961310000001</v>
          </cell>
          <cell r="B334">
            <v>10.647399999999999</v>
          </cell>
        </row>
        <row r="335">
          <cell r="A335">
            <v>2137.96209</v>
          </cell>
          <cell r="B335">
            <v>10.6462</v>
          </cell>
        </row>
        <row r="336">
          <cell r="A336">
            <v>2187.7616240000002</v>
          </cell>
          <cell r="B336">
            <v>10.645</v>
          </cell>
        </row>
        <row r="337">
          <cell r="A337">
            <v>2238.7211390000002</v>
          </cell>
          <cell r="B337">
            <v>10.643700000000001</v>
          </cell>
        </row>
        <row r="338">
          <cell r="A338">
            <v>2290.8676529999998</v>
          </cell>
          <cell r="B338">
            <v>10.6424</v>
          </cell>
        </row>
        <row r="339">
          <cell r="A339">
            <v>2344.2288149999999</v>
          </cell>
          <cell r="B339">
            <v>10.641</v>
          </cell>
        </row>
        <row r="340">
          <cell r="A340">
            <v>2398.8329189999999</v>
          </cell>
          <cell r="B340">
            <v>10.6396</v>
          </cell>
        </row>
        <row r="341">
          <cell r="A341">
            <v>2454.708916</v>
          </cell>
          <cell r="B341">
            <v>10.6381</v>
          </cell>
        </row>
        <row r="342">
          <cell r="A342">
            <v>2511.8864319999998</v>
          </cell>
          <cell r="B342">
            <v>10.6365</v>
          </cell>
        </row>
        <row r="343">
          <cell r="A343">
            <v>2570.3957829999999</v>
          </cell>
          <cell r="B343">
            <v>10.6348</v>
          </cell>
        </row>
        <row r="344">
          <cell r="A344">
            <v>2630.267992</v>
          </cell>
          <cell r="B344">
            <v>10.633100000000001</v>
          </cell>
        </row>
        <row r="345">
          <cell r="A345">
            <v>2691.5348039999999</v>
          </cell>
          <cell r="B345">
            <v>10.6313</v>
          </cell>
        </row>
        <row r="346">
          <cell r="A346">
            <v>2754.2287030000002</v>
          </cell>
          <cell r="B346">
            <v>10.6294</v>
          </cell>
        </row>
        <row r="347">
          <cell r="A347">
            <v>2818.3829310000001</v>
          </cell>
          <cell r="B347">
            <v>10.6274</v>
          </cell>
        </row>
        <row r="348">
          <cell r="A348">
            <v>2884.0315030000002</v>
          </cell>
          <cell r="B348">
            <v>10.625299999999999</v>
          </cell>
        </row>
        <row r="349">
          <cell r="A349">
            <v>2951.2092269999998</v>
          </cell>
          <cell r="B349">
            <v>10.623100000000001</v>
          </cell>
        </row>
        <row r="350">
          <cell r="A350">
            <v>3019.95172</v>
          </cell>
          <cell r="B350">
            <v>10.620799999999999</v>
          </cell>
        </row>
        <row r="351">
          <cell r="A351">
            <v>3090.2954329999998</v>
          </cell>
          <cell r="B351">
            <v>10.618399999999999</v>
          </cell>
        </row>
        <row r="352">
          <cell r="A352">
            <v>3162.2776600000002</v>
          </cell>
          <cell r="B352">
            <v>10.6159</v>
          </cell>
        </row>
        <row r="353">
          <cell r="A353">
            <v>3235.936569</v>
          </cell>
          <cell r="B353">
            <v>10.613300000000001</v>
          </cell>
        </row>
        <row r="354">
          <cell r="A354">
            <v>3311.3112150000002</v>
          </cell>
          <cell r="B354">
            <v>10.6105</v>
          </cell>
        </row>
        <row r="355">
          <cell r="A355">
            <v>3388.4415610000001</v>
          </cell>
          <cell r="B355">
            <v>10.607699999999999</v>
          </cell>
        </row>
        <row r="356">
          <cell r="A356">
            <v>3467.3685049999999</v>
          </cell>
          <cell r="B356">
            <v>10.604699999999999</v>
          </cell>
        </row>
        <row r="357">
          <cell r="A357">
            <v>3548.1338919999998</v>
          </cell>
          <cell r="B357">
            <v>10.6015</v>
          </cell>
        </row>
        <row r="358">
          <cell r="A358">
            <v>3630.7805480000002</v>
          </cell>
          <cell r="B358">
            <v>10.5982</v>
          </cell>
        </row>
        <row r="359">
          <cell r="A359">
            <v>3715.3522910000002</v>
          </cell>
          <cell r="B359">
            <v>10.594799999999999</v>
          </cell>
        </row>
        <row r="360">
          <cell r="A360">
            <v>3801.893963</v>
          </cell>
          <cell r="B360">
            <v>10.591200000000001</v>
          </cell>
        </row>
        <row r="361">
          <cell r="A361">
            <v>3890.45145</v>
          </cell>
          <cell r="B361">
            <v>10.587400000000001</v>
          </cell>
        </row>
        <row r="362">
          <cell r="A362">
            <v>3981.0717060000002</v>
          </cell>
          <cell r="B362">
            <v>10.583500000000001</v>
          </cell>
        </row>
        <row r="363">
          <cell r="A363">
            <v>4073.8027780000002</v>
          </cell>
          <cell r="B363">
            <v>10.5794</v>
          </cell>
        </row>
        <row r="364">
          <cell r="A364">
            <v>4168.693835</v>
          </cell>
          <cell r="B364">
            <v>10.575100000000001</v>
          </cell>
        </row>
        <row r="365">
          <cell r="A365">
            <v>4265.7951880000001</v>
          </cell>
          <cell r="B365">
            <v>10.570499999999999</v>
          </cell>
        </row>
        <row r="366">
          <cell r="A366">
            <v>4365.1583220000002</v>
          </cell>
          <cell r="B366">
            <v>10.565799999999999</v>
          </cell>
        </row>
        <row r="367">
          <cell r="A367">
            <v>4466.8359220000002</v>
          </cell>
          <cell r="B367">
            <v>10.5609</v>
          </cell>
        </row>
        <row r="368">
          <cell r="A368">
            <v>4570.8818959999999</v>
          </cell>
          <cell r="B368">
            <v>10.5557</v>
          </cell>
        </row>
        <row r="369">
          <cell r="A369">
            <v>4677.3514130000003</v>
          </cell>
          <cell r="B369">
            <v>10.5503</v>
          </cell>
        </row>
        <row r="370">
          <cell r="A370">
            <v>4786.3009229999998</v>
          </cell>
          <cell r="B370">
            <v>10.544700000000001</v>
          </cell>
        </row>
        <row r="371">
          <cell r="A371">
            <v>4897.7881939999997</v>
          </cell>
          <cell r="B371">
            <v>10.5388</v>
          </cell>
        </row>
        <row r="372">
          <cell r="A372">
            <v>5011.8723360000004</v>
          </cell>
          <cell r="B372">
            <v>10.5326</v>
          </cell>
        </row>
        <row r="373">
          <cell r="A373">
            <v>5128.61384</v>
          </cell>
          <cell r="B373">
            <v>10.5261</v>
          </cell>
        </row>
        <row r="374">
          <cell r="A374">
            <v>5248.0746019999997</v>
          </cell>
          <cell r="B374">
            <v>10.519399999999999</v>
          </cell>
        </row>
        <row r="375">
          <cell r="A375">
            <v>5370.3179639999998</v>
          </cell>
          <cell r="B375">
            <v>10.5123</v>
          </cell>
        </row>
        <row r="376">
          <cell r="A376">
            <v>5495.4087390000004</v>
          </cell>
          <cell r="B376">
            <v>10.504899999999999</v>
          </cell>
        </row>
        <row r="377">
          <cell r="A377">
            <v>5623.4132520000003</v>
          </cell>
          <cell r="B377">
            <v>10.497199999999999</v>
          </cell>
        </row>
        <row r="378">
          <cell r="A378">
            <v>5754.3993730000002</v>
          </cell>
          <cell r="B378">
            <v>10.4892</v>
          </cell>
        </row>
        <row r="379">
          <cell r="A379">
            <v>5888.4365539999999</v>
          </cell>
          <cell r="B379">
            <v>10.480700000000001</v>
          </cell>
        </row>
        <row r="380">
          <cell r="A380">
            <v>6025.5958609999998</v>
          </cell>
          <cell r="B380">
            <v>10.4719</v>
          </cell>
        </row>
        <row r="381">
          <cell r="A381">
            <v>6165.9500189999999</v>
          </cell>
          <cell r="B381">
            <v>10.4627</v>
          </cell>
        </row>
        <row r="382">
          <cell r="A382">
            <v>6309.573445</v>
          </cell>
          <cell r="B382">
            <v>10.453099999999999</v>
          </cell>
        </row>
        <row r="383">
          <cell r="A383">
            <v>6456.5422900000003</v>
          </cell>
          <cell r="B383">
            <v>10.443099999999999</v>
          </cell>
        </row>
        <row r="384">
          <cell r="A384">
            <v>6606.9344799999999</v>
          </cell>
          <cell r="B384">
            <v>10.432600000000001</v>
          </cell>
        </row>
        <row r="385">
          <cell r="A385">
            <v>6760.8297540000003</v>
          </cell>
          <cell r="B385">
            <v>10.4216</v>
          </cell>
        </row>
        <row r="386">
          <cell r="A386">
            <v>6918.3097090000001</v>
          </cell>
          <cell r="B386">
            <v>10.4102</v>
          </cell>
        </row>
        <row r="387">
          <cell r="A387">
            <v>7079.4578439999996</v>
          </cell>
          <cell r="B387">
            <v>10.398199999999999</v>
          </cell>
        </row>
        <row r="388">
          <cell r="A388">
            <v>7244.3596010000001</v>
          </cell>
          <cell r="B388">
            <v>10.3857</v>
          </cell>
        </row>
        <row r="389">
          <cell r="A389">
            <v>7413.1024129999996</v>
          </cell>
          <cell r="B389">
            <v>10.3727</v>
          </cell>
        </row>
        <row r="390">
          <cell r="A390">
            <v>7585.7757499999998</v>
          </cell>
          <cell r="B390">
            <v>10.3591</v>
          </cell>
        </row>
        <row r="391">
          <cell r="A391">
            <v>7762.4711660000003</v>
          </cell>
          <cell r="B391">
            <v>10.344900000000001</v>
          </cell>
        </row>
        <row r="392">
          <cell r="A392">
            <v>7943.2823470000003</v>
          </cell>
          <cell r="B392">
            <v>10.3301</v>
          </cell>
        </row>
        <row r="393">
          <cell r="A393">
            <v>8128.3051619999997</v>
          </cell>
          <cell r="B393">
            <v>10.3146</v>
          </cell>
        </row>
        <row r="394">
          <cell r="A394">
            <v>8317.6377109999994</v>
          </cell>
          <cell r="B394">
            <v>10.298500000000001</v>
          </cell>
        </row>
        <row r="395">
          <cell r="A395">
            <v>8511.3803819999994</v>
          </cell>
          <cell r="B395">
            <v>10.281599999999999</v>
          </cell>
        </row>
        <row r="396">
          <cell r="A396">
            <v>8709.6358999999993</v>
          </cell>
          <cell r="B396">
            <v>10.264099999999999</v>
          </cell>
        </row>
        <row r="397">
          <cell r="A397">
            <v>8912.5093809999998</v>
          </cell>
          <cell r="B397">
            <v>10.245799999999999</v>
          </cell>
        </row>
        <row r="398">
          <cell r="A398">
            <v>9120.1083940000008</v>
          </cell>
          <cell r="B398">
            <v>10.226699999999999</v>
          </cell>
        </row>
        <row r="399">
          <cell r="A399">
            <v>9332.5430080000006</v>
          </cell>
          <cell r="B399">
            <v>10.206799999999999</v>
          </cell>
        </row>
        <row r="400">
          <cell r="A400">
            <v>9549.9258599999994</v>
          </cell>
          <cell r="B400">
            <v>10.186</v>
          </cell>
        </row>
        <row r="401">
          <cell r="A401">
            <v>9772.3722099999995</v>
          </cell>
          <cell r="B401">
            <v>10.164400000000001</v>
          </cell>
        </row>
        <row r="402">
          <cell r="A402">
            <v>10000</v>
          </cell>
          <cell r="B402">
            <v>10.1419</v>
          </cell>
        </row>
        <row r="403">
          <cell r="A403">
            <v>10232.92992</v>
          </cell>
          <cell r="B403">
            <v>10.118399999999999</v>
          </cell>
        </row>
        <row r="404">
          <cell r="A404">
            <v>10471.28548</v>
          </cell>
          <cell r="B404">
            <v>10.093999999999999</v>
          </cell>
        </row>
        <row r="405">
          <cell r="A405">
            <v>10715.19305</v>
          </cell>
          <cell r="B405">
            <v>10.0686</v>
          </cell>
        </row>
        <row r="406">
          <cell r="A406">
            <v>10964.78196</v>
          </cell>
          <cell r="B406">
            <v>10.0421</v>
          </cell>
        </row>
        <row r="407">
          <cell r="A407">
            <v>11220.18454</v>
          </cell>
          <cell r="B407">
            <v>10.0146</v>
          </cell>
        </row>
        <row r="408">
          <cell r="A408">
            <v>11481.53621</v>
          </cell>
          <cell r="B408">
            <v>9.9859299999999998</v>
          </cell>
        </row>
        <row r="409">
          <cell r="A409">
            <v>11748.975549999999</v>
          </cell>
          <cell r="B409">
            <v>9.9561299999999999</v>
          </cell>
        </row>
        <row r="410">
          <cell r="A410">
            <v>12022.64435</v>
          </cell>
          <cell r="B410">
            <v>9.9251400000000007</v>
          </cell>
        </row>
        <row r="411">
          <cell r="A411">
            <v>12302.68771</v>
          </cell>
          <cell r="B411">
            <v>9.8929200000000002</v>
          </cell>
        </row>
        <row r="412">
          <cell r="A412">
            <v>12589.25412</v>
          </cell>
          <cell r="B412">
            <v>9.8594399999999993</v>
          </cell>
        </row>
        <row r="413">
          <cell r="A413">
            <v>12882.49552</v>
          </cell>
          <cell r="B413">
            <v>9.8246599999999997</v>
          </cell>
        </row>
        <row r="414">
          <cell r="A414">
            <v>13182.56739</v>
          </cell>
          <cell r="B414">
            <v>9.7885299999999997</v>
          </cell>
        </row>
        <row r="415">
          <cell r="A415">
            <v>13489.62883</v>
          </cell>
          <cell r="B415">
            <v>9.7510200000000005</v>
          </cell>
        </row>
        <row r="416">
          <cell r="A416">
            <v>13803.842650000001</v>
          </cell>
          <cell r="B416">
            <v>9.7120899999999999</v>
          </cell>
        </row>
        <row r="417">
          <cell r="A417">
            <v>14125.37545</v>
          </cell>
          <cell r="B417">
            <v>9.6716899999999999</v>
          </cell>
        </row>
        <row r="418">
          <cell r="A418">
            <v>14454.397709999999</v>
          </cell>
          <cell r="B418">
            <v>9.6297899999999998</v>
          </cell>
        </row>
        <row r="419">
          <cell r="A419">
            <v>14791.08388</v>
          </cell>
          <cell r="B419">
            <v>9.5863399999999999</v>
          </cell>
        </row>
        <row r="420">
          <cell r="A420">
            <v>15135.61248</v>
          </cell>
          <cell r="B420">
            <v>9.5413099999999993</v>
          </cell>
        </row>
        <row r="421">
          <cell r="A421">
            <v>15488.16619</v>
          </cell>
          <cell r="B421">
            <v>9.4946400000000004</v>
          </cell>
        </row>
        <row r="422">
          <cell r="A422">
            <v>15848.931920000001</v>
          </cell>
          <cell r="B422">
            <v>9.4463200000000001</v>
          </cell>
        </row>
        <row r="423">
          <cell r="A423">
            <v>16218.10097</v>
          </cell>
          <cell r="B423">
            <v>9.3962800000000009</v>
          </cell>
        </row>
        <row r="424">
          <cell r="A424">
            <v>16595.869070000001</v>
          </cell>
          <cell r="B424">
            <v>9.3444900000000004</v>
          </cell>
        </row>
        <row r="425">
          <cell r="A425">
            <v>16982.436519999999</v>
          </cell>
          <cell r="B425">
            <v>9.2909199999999998</v>
          </cell>
        </row>
        <row r="426">
          <cell r="A426">
            <v>17378.008290000002</v>
          </cell>
          <cell r="B426">
            <v>9.2355300000000007</v>
          </cell>
        </row>
        <row r="427">
          <cell r="A427">
            <v>17782.794099999999</v>
          </cell>
          <cell r="B427">
            <v>9.1782699999999995</v>
          </cell>
        </row>
        <row r="428">
          <cell r="A428">
            <v>18197.008590000001</v>
          </cell>
          <cell r="B428">
            <v>9.1191099999999992</v>
          </cell>
        </row>
        <row r="429">
          <cell r="A429">
            <v>18620.871370000001</v>
          </cell>
          <cell r="B429">
            <v>9.0580099999999995</v>
          </cell>
        </row>
        <row r="430">
          <cell r="A430">
            <v>19054.607179999999</v>
          </cell>
          <cell r="B430">
            <v>8.9949399999999997</v>
          </cell>
        </row>
        <row r="431">
          <cell r="A431">
            <v>19498.446</v>
          </cell>
          <cell r="B431">
            <v>8.9298699999999993</v>
          </cell>
        </row>
        <row r="432">
          <cell r="A432">
            <v>19952.623149999999</v>
          </cell>
          <cell r="B432">
            <v>8.8627599999999997</v>
          </cell>
        </row>
        <row r="433">
          <cell r="A433">
            <v>20417.37945</v>
          </cell>
          <cell r="B433">
            <v>8.7935800000000004</v>
          </cell>
        </row>
        <row r="434">
          <cell r="A434">
            <v>20892.961309999999</v>
          </cell>
          <cell r="B434">
            <v>8.7223100000000002</v>
          </cell>
        </row>
        <row r="435">
          <cell r="A435">
            <v>21379.620900000002</v>
          </cell>
          <cell r="B435">
            <v>8.6488999999999994</v>
          </cell>
        </row>
        <row r="436">
          <cell r="A436">
            <v>21877.616239999999</v>
          </cell>
          <cell r="B436">
            <v>8.5733499999999996</v>
          </cell>
        </row>
        <row r="437">
          <cell r="A437">
            <v>22387.21139</v>
          </cell>
          <cell r="B437">
            <v>8.4956200000000006</v>
          </cell>
        </row>
        <row r="438">
          <cell r="A438">
            <v>22908.676530000001</v>
          </cell>
          <cell r="B438">
            <v>8.4156899999999997</v>
          </cell>
        </row>
        <row r="439">
          <cell r="A439">
            <v>23442.28815</v>
          </cell>
          <cell r="B439">
            <v>8.3335399999999993</v>
          </cell>
        </row>
        <row r="440">
          <cell r="A440">
            <v>23988.32919</v>
          </cell>
          <cell r="B440">
            <v>8.2491500000000002</v>
          </cell>
        </row>
        <row r="441">
          <cell r="A441">
            <v>24547.08916</v>
          </cell>
          <cell r="B441">
            <v>8.1625099999999993</v>
          </cell>
        </row>
        <row r="442">
          <cell r="A442">
            <v>25118.864320000001</v>
          </cell>
          <cell r="B442">
            <v>8.0736000000000008</v>
          </cell>
        </row>
        <row r="443">
          <cell r="A443">
            <v>25703.957829999999</v>
          </cell>
          <cell r="B443">
            <v>7.9824099999999998</v>
          </cell>
        </row>
        <row r="444">
          <cell r="A444">
            <v>26302.679919999999</v>
          </cell>
          <cell r="B444">
            <v>7.8889300000000002</v>
          </cell>
        </row>
        <row r="445">
          <cell r="A445">
            <v>26915.348040000001</v>
          </cell>
          <cell r="B445">
            <v>7.7931600000000003</v>
          </cell>
        </row>
        <row r="446">
          <cell r="A446">
            <v>27542.28703</v>
          </cell>
          <cell r="B446">
            <v>7.6950799999999999</v>
          </cell>
        </row>
        <row r="447">
          <cell r="A447">
            <v>28183.829310000001</v>
          </cell>
          <cell r="B447">
            <v>7.5947100000000001</v>
          </cell>
        </row>
        <row r="448">
          <cell r="A448">
            <v>28840.315030000002</v>
          </cell>
          <cell r="B448">
            <v>7.4920299999999997</v>
          </cell>
        </row>
        <row r="449">
          <cell r="A449">
            <v>29512.092270000001</v>
          </cell>
          <cell r="B449">
            <v>7.38706</v>
          </cell>
        </row>
        <row r="450">
          <cell r="A450">
            <v>30199.517199999998</v>
          </cell>
          <cell r="B450">
            <v>7.2797900000000002</v>
          </cell>
        </row>
        <row r="451">
          <cell r="A451">
            <v>30902.95433</v>
          </cell>
          <cell r="B451">
            <v>7.1702300000000001</v>
          </cell>
        </row>
        <row r="452">
          <cell r="A452">
            <v>31622.776600000001</v>
          </cell>
          <cell r="B452">
            <v>7.0584100000000003</v>
          </cell>
        </row>
        <row r="453">
          <cell r="A453">
            <v>32359.365689999999</v>
          </cell>
          <cell r="B453">
            <v>6.9443099999999998</v>
          </cell>
        </row>
        <row r="454">
          <cell r="A454">
            <v>33113.112150000001</v>
          </cell>
          <cell r="B454">
            <v>6.8279699999999997</v>
          </cell>
        </row>
        <row r="455">
          <cell r="A455">
            <v>33884.415609999996</v>
          </cell>
          <cell r="B455">
            <v>6.7093999999999996</v>
          </cell>
        </row>
        <row r="456">
          <cell r="A456">
            <v>34673.68505</v>
          </cell>
          <cell r="B456">
            <v>6.5886100000000001</v>
          </cell>
        </row>
        <row r="457">
          <cell r="A457">
            <v>35481.338920000002</v>
          </cell>
          <cell r="B457">
            <v>6.46563</v>
          </cell>
        </row>
        <row r="458">
          <cell r="A458">
            <v>36307.805480000003</v>
          </cell>
          <cell r="B458">
            <v>6.34049</v>
          </cell>
        </row>
        <row r="459">
          <cell r="A459">
            <v>37153.52291</v>
          </cell>
          <cell r="B459">
            <v>6.2131999999999996</v>
          </cell>
        </row>
        <row r="460">
          <cell r="A460">
            <v>38018.939630000001</v>
          </cell>
          <cell r="B460">
            <v>6.0837899999999996</v>
          </cell>
        </row>
        <row r="461">
          <cell r="A461">
            <v>38904.514499999997</v>
          </cell>
          <cell r="B461">
            <v>5.9523000000000001</v>
          </cell>
        </row>
        <row r="462">
          <cell r="A462">
            <v>39810.717060000003</v>
          </cell>
          <cell r="B462">
            <v>5.8187499999999996</v>
          </cell>
        </row>
        <row r="463">
          <cell r="A463">
            <v>40738.027779999997</v>
          </cell>
          <cell r="B463">
            <v>5.6831699999999996</v>
          </cell>
        </row>
        <row r="464">
          <cell r="A464">
            <v>41686.938349999997</v>
          </cell>
          <cell r="B464">
            <v>5.5455899999999998</v>
          </cell>
        </row>
        <row r="465">
          <cell r="A465">
            <v>42657.951880000001</v>
          </cell>
          <cell r="B465">
            <v>5.4060600000000001</v>
          </cell>
        </row>
        <row r="466">
          <cell r="A466">
            <v>43651.58322</v>
          </cell>
          <cell r="B466">
            <v>5.2646100000000002</v>
          </cell>
        </row>
        <row r="467">
          <cell r="A467">
            <v>44668.359219999998</v>
          </cell>
          <cell r="B467">
            <v>5.1212600000000004</v>
          </cell>
        </row>
        <row r="468">
          <cell r="A468">
            <v>45708.818959999997</v>
          </cell>
          <cell r="B468">
            <v>4.97607</v>
          </cell>
        </row>
        <row r="469">
          <cell r="A469">
            <v>46773.514130000003</v>
          </cell>
          <cell r="B469">
            <v>4.8290699999999998</v>
          </cell>
        </row>
        <row r="470">
          <cell r="A470">
            <v>47863.009230000003</v>
          </cell>
          <cell r="B470">
            <v>4.6802900000000003</v>
          </cell>
        </row>
        <row r="471">
          <cell r="A471">
            <v>48977.881939999999</v>
          </cell>
          <cell r="B471">
            <v>4.5297799999999997</v>
          </cell>
        </row>
        <row r="472">
          <cell r="A472">
            <v>50118.723360000004</v>
          </cell>
          <cell r="B472">
            <v>4.3775700000000004</v>
          </cell>
        </row>
        <row r="473">
          <cell r="A473">
            <v>51286.138400000003</v>
          </cell>
          <cell r="B473">
            <v>4.2237200000000001</v>
          </cell>
        </row>
        <row r="474">
          <cell r="A474">
            <v>52480.746019999999</v>
          </cell>
          <cell r="B474">
            <v>4.0682400000000003</v>
          </cell>
        </row>
        <row r="475">
          <cell r="A475">
            <v>53703.179640000002</v>
          </cell>
          <cell r="B475">
            <v>3.9112</v>
          </cell>
        </row>
        <row r="476">
          <cell r="A476">
            <v>54954.087390000001</v>
          </cell>
          <cell r="B476">
            <v>3.7526299999999999</v>
          </cell>
        </row>
        <row r="477">
          <cell r="A477">
            <v>56234.132519999999</v>
          </cell>
          <cell r="B477">
            <v>3.5925600000000002</v>
          </cell>
        </row>
        <row r="478">
          <cell r="A478">
            <v>57543.993730000002</v>
          </cell>
          <cell r="B478">
            <v>3.4310499999999999</v>
          </cell>
        </row>
        <row r="479">
          <cell r="A479">
            <v>58884.365539999999</v>
          </cell>
          <cell r="B479">
            <v>3.2681300000000002</v>
          </cell>
        </row>
        <row r="480">
          <cell r="A480">
            <v>60255.958610000001</v>
          </cell>
          <cell r="B480">
            <v>3.1038399999999999</v>
          </cell>
        </row>
        <row r="481">
          <cell r="A481">
            <v>61659.500189999999</v>
          </cell>
          <cell r="B481">
            <v>2.9382199999999998</v>
          </cell>
        </row>
        <row r="482">
          <cell r="A482">
            <v>63095.734450000004</v>
          </cell>
          <cell r="B482">
            <v>2.7713100000000002</v>
          </cell>
        </row>
        <row r="483">
          <cell r="A483">
            <v>64565.422899999998</v>
          </cell>
          <cell r="B483">
            <v>2.6031499999999999</v>
          </cell>
        </row>
        <row r="484">
          <cell r="A484">
            <v>66069.344800000006</v>
          </cell>
          <cell r="B484">
            <v>2.4337800000000001</v>
          </cell>
        </row>
        <row r="485">
          <cell r="A485">
            <v>67608.29754</v>
          </cell>
          <cell r="B485">
            <v>2.2632400000000001</v>
          </cell>
        </row>
        <row r="486">
          <cell r="A486">
            <v>69183.097089999996</v>
          </cell>
          <cell r="B486">
            <v>2.0915599999999999</v>
          </cell>
        </row>
        <row r="487">
          <cell r="A487">
            <v>70794.578439999997</v>
          </cell>
          <cell r="B487">
            <v>1.9187799999999999</v>
          </cell>
        </row>
        <row r="488">
          <cell r="A488">
            <v>72443.596009999994</v>
          </cell>
          <cell r="B488">
            <v>1.74495</v>
          </cell>
        </row>
        <row r="489">
          <cell r="A489">
            <v>74131.024130000005</v>
          </cell>
          <cell r="B489">
            <v>1.57009</v>
          </cell>
        </row>
        <row r="490">
          <cell r="A490">
            <v>75857.757500000007</v>
          </cell>
          <cell r="B490">
            <v>1.3942300000000001</v>
          </cell>
        </row>
        <row r="491">
          <cell r="A491">
            <v>77624.711660000001</v>
          </cell>
          <cell r="B491">
            <v>1.2174199999999999</v>
          </cell>
        </row>
        <row r="492">
          <cell r="A492">
            <v>79432.823470000003</v>
          </cell>
          <cell r="B492">
            <v>1.03969</v>
          </cell>
        </row>
        <row r="493">
          <cell r="A493">
            <v>81283.051619999998</v>
          </cell>
          <cell r="B493">
            <v>0.86106199999999999</v>
          </cell>
        </row>
        <row r="494">
          <cell r="A494">
            <v>83176.377110000001</v>
          </cell>
          <cell r="B494">
            <v>0.68157800000000002</v>
          </cell>
        </row>
        <row r="495">
          <cell r="A495">
            <v>85113.803820000001</v>
          </cell>
          <cell r="B495">
            <v>0.50126700000000002</v>
          </cell>
        </row>
        <row r="496">
          <cell r="A496">
            <v>87096.358999999997</v>
          </cell>
          <cell r="B496">
            <v>0.320158</v>
          </cell>
        </row>
        <row r="497">
          <cell r="A497">
            <v>89125.093810000006</v>
          </cell>
          <cell r="B497">
            <v>0.13828099999999999</v>
          </cell>
        </row>
        <row r="498">
          <cell r="A498">
            <v>91201.083939999997</v>
          </cell>
          <cell r="B498">
            <v>-4.4334699999999998E-2</v>
          </cell>
        </row>
        <row r="499">
          <cell r="A499">
            <v>93325.430080000006</v>
          </cell>
          <cell r="B499">
            <v>-0.227662</v>
          </cell>
        </row>
        <row r="500">
          <cell r="A500">
            <v>95499.258600000001</v>
          </cell>
          <cell r="B500">
            <v>-0.41167300000000001</v>
          </cell>
        </row>
        <row r="501">
          <cell r="A501">
            <v>97723.722099999999</v>
          </cell>
          <cell r="B501">
            <v>-0.59634299999999996</v>
          </cell>
        </row>
        <row r="502">
          <cell r="A502">
            <v>100000</v>
          </cell>
          <cell r="B502">
            <v>-0.78164500000000003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-simulation ( Proteus)"/>
      <sheetName val="PCB - AFS (470n - Capacitor)"/>
      <sheetName val="PCB - final simulation (8r2)"/>
      <sheetName val="Combined Sim + PCB"/>
    </sheetNames>
    <sheetDataSet>
      <sheetData sheetId="0">
        <row r="1">
          <cell r="B1" t="str">
            <v>Stage 1 Simulation (TL071)</v>
          </cell>
          <cell r="C1" t="str">
            <v>Stage 2 Simulation (OPA551)</v>
          </cell>
        </row>
        <row r="2">
          <cell r="A2">
            <v>1</v>
          </cell>
          <cell r="B2">
            <v>-5.8582400000000003</v>
          </cell>
          <cell r="C2">
            <v>-24.825399999999998</v>
          </cell>
        </row>
        <row r="3">
          <cell r="A3">
            <v>1.023292992</v>
          </cell>
          <cell r="B3">
            <v>-5.6627900000000002</v>
          </cell>
          <cell r="C3">
            <v>-24.432500000000001</v>
          </cell>
        </row>
        <row r="4">
          <cell r="A4">
            <v>1.0471285480000001</v>
          </cell>
          <cell r="B4">
            <v>-5.4675500000000001</v>
          </cell>
          <cell r="C4">
            <v>-24.04</v>
          </cell>
        </row>
        <row r="5">
          <cell r="A5">
            <v>1.071519305</v>
          </cell>
          <cell r="B5">
            <v>-5.2725299999999997</v>
          </cell>
          <cell r="C5">
            <v>-23.6478</v>
          </cell>
        </row>
        <row r="6">
          <cell r="A6">
            <v>1.0964781960000001</v>
          </cell>
          <cell r="B6">
            <v>-5.0777400000000004</v>
          </cell>
          <cell r="C6">
            <v>-23.256</v>
          </cell>
        </row>
        <row r="7">
          <cell r="A7">
            <v>1.122018454</v>
          </cell>
          <cell r="B7">
            <v>-4.8831899999999999</v>
          </cell>
          <cell r="C7">
            <v>-22.8645</v>
          </cell>
        </row>
        <row r="8">
          <cell r="A8">
            <v>1.1481536210000001</v>
          </cell>
          <cell r="B8">
            <v>-4.6888899999999998</v>
          </cell>
          <cell r="C8">
            <v>-22.473500000000001</v>
          </cell>
        </row>
        <row r="9">
          <cell r="A9">
            <v>1.174897555</v>
          </cell>
          <cell r="B9">
            <v>-4.4948499999999996</v>
          </cell>
          <cell r="C9">
            <v>-22.082899999999999</v>
          </cell>
        </row>
        <row r="10">
          <cell r="A10">
            <v>1.202264435</v>
          </cell>
          <cell r="B10">
            <v>-4.3010700000000002</v>
          </cell>
          <cell r="C10">
            <v>-21.692699999999999</v>
          </cell>
        </row>
        <row r="11">
          <cell r="A11">
            <v>1.230268771</v>
          </cell>
          <cell r="B11">
            <v>-4.1075900000000001</v>
          </cell>
          <cell r="C11">
            <v>-21.302900000000001</v>
          </cell>
        </row>
        <row r="12">
          <cell r="A12">
            <v>1.258925412</v>
          </cell>
          <cell r="B12">
            <v>-3.9144000000000001</v>
          </cell>
          <cell r="C12">
            <v>-20.913599999999999</v>
          </cell>
        </row>
        <row r="13">
          <cell r="A13">
            <v>1.2882495519999999</v>
          </cell>
          <cell r="B13">
            <v>-3.7215199999999999</v>
          </cell>
          <cell r="C13">
            <v>-20.524799999999999</v>
          </cell>
        </row>
        <row r="14">
          <cell r="A14">
            <v>1.318256739</v>
          </cell>
          <cell r="B14">
            <v>-3.5289600000000001</v>
          </cell>
          <cell r="C14">
            <v>-20.136500000000002</v>
          </cell>
        </row>
        <row r="15">
          <cell r="A15">
            <v>1.348962883</v>
          </cell>
          <cell r="B15">
            <v>-3.3367399999999998</v>
          </cell>
          <cell r="C15">
            <v>-19.748799999999999</v>
          </cell>
        </row>
        <row r="16">
          <cell r="A16">
            <v>1.380384265</v>
          </cell>
          <cell r="B16">
            <v>-3.1448700000000001</v>
          </cell>
          <cell r="C16">
            <v>-19.361599999999999</v>
          </cell>
        </row>
        <row r="17">
          <cell r="A17">
            <v>1.4125375449999999</v>
          </cell>
          <cell r="B17">
            <v>-2.9533700000000001</v>
          </cell>
          <cell r="C17">
            <v>-18.975000000000001</v>
          </cell>
        </row>
        <row r="18">
          <cell r="A18">
            <v>1.445439771</v>
          </cell>
          <cell r="B18">
            <v>-2.7622499999999999</v>
          </cell>
          <cell r="C18">
            <v>-18.588999999999999</v>
          </cell>
        </row>
        <row r="19">
          <cell r="A19">
            <v>1.479108388</v>
          </cell>
          <cell r="B19">
            <v>-2.5715300000000001</v>
          </cell>
          <cell r="C19">
            <v>-18.203600000000002</v>
          </cell>
        </row>
        <row r="20">
          <cell r="A20">
            <v>1.513561248</v>
          </cell>
          <cell r="B20">
            <v>-2.3812199999999999</v>
          </cell>
          <cell r="C20">
            <v>-17.818899999999999</v>
          </cell>
        </row>
        <row r="21">
          <cell r="A21">
            <v>1.5488166189999999</v>
          </cell>
          <cell r="B21">
            <v>-2.1913499999999999</v>
          </cell>
          <cell r="C21">
            <v>-17.434899999999999</v>
          </cell>
        </row>
        <row r="22">
          <cell r="A22">
            <v>1.584893192</v>
          </cell>
          <cell r="B22">
            <v>-2.0019300000000002</v>
          </cell>
          <cell r="C22">
            <v>-17.051600000000001</v>
          </cell>
        </row>
        <row r="23">
          <cell r="A23">
            <v>1.621810097</v>
          </cell>
          <cell r="B23">
            <v>-1.8129900000000001</v>
          </cell>
          <cell r="C23">
            <v>-16.669</v>
          </cell>
        </row>
        <row r="24">
          <cell r="A24">
            <v>1.659586907</v>
          </cell>
          <cell r="B24">
            <v>-1.62453</v>
          </cell>
          <cell r="C24">
            <v>-16.287199999999999</v>
          </cell>
        </row>
        <row r="25">
          <cell r="A25">
            <v>1.6982436519999999</v>
          </cell>
          <cell r="B25">
            <v>-1.43658</v>
          </cell>
          <cell r="C25">
            <v>-15.9063</v>
          </cell>
        </row>
        <row r="26">
          <cell r="A26">
            <v>1.737800829</v>
          </cell>
          <cell r="B26">
            <v>-1.2491699999999999</v>
          </cell>
          <cell r="C26">
            <v>-15.526199999999999</v>
          </cell>
        </row>
        <row r="27">
          <cell r="A27">
            <v>1.7782794099999999</v>
          </cell>
          <cell r="B27">
            <v>-1.0623100000000001</v>
          </cell>
          <cell r="C27">
            <v>-15.1469</v>
          </cell>
        </row>
        <row r="28">
          <cell r="A28">
            <v>1.8197008589999999</v>
          </cell>
          <cell r="B28">
            <v>-0.87602999999999998</v>
          </cell>
          <cell r="C28">
            <v>-14.768599999999999</v>
          </cell>
        </row>
        <row r="29">
          <cell r="A29">
            <v>1.8620871370000001</v>
          </cell>
          <cell r="B29">
            <v>-0.69034799999999996</v>
          </cell>
          <cell r="C29">
            <v>-14.391299999999999</v>
          </cell>
        </row>
        <row r="30">
          <cell r="A30">
            <v>1.9054607180000001</v>
          </cell>
          <cell r="B30">
            <v>-0.50529000000000002</v>
          </cell>
          <cell r="C30">
            <v>-14.015000000000001</v>
          </cell>
        </row>
        <row r="31">
          <cell r="A31">
            <v>1.9498446</v>
          </cell>
          <cell r="B31">
            <v>-0.32088100000000003</v>
          </cell>
          <cell r="C31">
            <v>-13.639699999999999</v>
          </cell>
        </row>
        <row r="32">
          <cell r="A32">
            <v>1.995262315</v>
          </cell>
          <cell r="B32">
            <v>-0.13714799999999999</v>
          </cell>
          <cell r="C32">
            <v>-13.265499999999999</v>
          </cell>
        </row>
        <row r="33">
          <cell r="A33">
            <v>2.0417379449999999</v>
          </cell>
          <cell r="B33">
            <v>4.58847E-2</v>
          </cell>
          <cell r="C33">
            <v>-12.8924</v>
          </cell>
        </row>
        <row r="34">
          <cell r="A34">
            <v>2.0892961309999998</v>
          </cell>
          <cell r="B34">
            <v>0.228188</v>
          </cell>
          <cell r="C34">
            <v>-12.5205</v>
          </cell>
        </row>
        <row r="35">
          <cell r="A35">
            <v>2.1379620899999998</v>
          </cell>
          <cell r="B35">
            <v>0.40973500000000002</v>
          </cell>
          <cell r="C35">
            <v>-12.149800000000001</v>
          </cell>
        </row>
        <row r="36">
          <cell r="A36">
            <v>2.1877616240000002</v>
          </cell>
          <cell r="B36">
            <v>0.59049499999999999</v>
          </cell>
          <cell r="C36">
            <v>-11.7804</v>
          </cell>
        </row>
        <row r="37">
          <cell r="A37">
            <v>2.2387211389999999</v>
          </cell>
          <cell r="B37">
            <v>0.77044000000000001</v>
          </cell>
          <cell r="C37">
            <v>-11.4122</v>
          </cell>
        </row>
        <row r="38">
          <cell r="A38">
            <v>2.2908676529999998</v>
          </cell>
          <cell r="B38">
            <v>0.94953900000000002</v>
          </cell>
          <cell r="C38">
            <v>-11.045500000000001</v>
          </cell>
        </row>
        <row r="39">
          <cell r="A39">
            <v>2.3442288150000001</v>
          </cell>
          <cell r="B39">
            <v>1.1277600000000001</v>
          </cell>
          <cell r="C39">
            <v>-10.680199999999999</v>
          </cell>
        </row>
        <row r="40">
          <cell r="A40">
            <v>2.3988329190000002</v>
          </cell>
          <cell r="B40">
            <v>1.30507</v>
          </cell>
          <cell r="C40">
            <v>-10.3164</v>
          </cell>
        </row>
        <row r="41">
          <cell r="A41">
            <v>2.454708916</v>
          </cell>
          <cell r="B41">
            <v>1.4814400000000001</v>
          </cell>
          <cell r="C41">
            <v>-9.9540699999999998</v>
          </cell>
        </row>
        <row r="42">
          <cell r="A42">
            <v>2.5118864319999998</v>
          </cell>
          <cell r="B42">
            <v>1.65683</v>
          </cell>
          <cell r="C42">
            <v>-9.5933600000000006</v>
          </cell>
        </row>
        <row r="43">
          <cell r="A43">
            <v>2.5703957829999999</v>
          </cell>
          <cell r="B43">
            <v>1.83121</v>
          </cell>
          <cell r="C43">
            <v>-9.2342999999999993</v>
          </cell>
        </row>
        <row r="44">
          <cell r="A44">
            <v>2.6302679919999998</v>
          </cell>
          <cell r="B44">
            <v>2.0045500000000001</v>
          </cell>
          <cell r="C44">
            <v>-8.8769500000000008</v>
          </cell>
        </row>
        <row r="45">
          <cell r="A45">
            <v>2.6915348039999998</v>
          </cell>
          <cell r="B45">
            <v>2.1768000000000001</v>
          </cell>
          <cell r="C45">
            <v>-8.5213699999999992</v>
          </cell>
        </row>
        <row r="46">
          <cell r="A46">
            <v>2.7542287029999999</v>
          </cell>
          <cell r="B46">
            <v>2.3479299999999999</v>
          </cell>
          <cell r="C46">
            <v>-8.1676300000000008</v>
          </cell>
        </row>
        <row r="47">
          <cell r="A47">
            <v>2.8183829309999999</v>
          </cell>
          <cell r="B47">
            <v>2.5179100000000001</v>
          </cell>
          <cell r="C47">
            <v>-7.8157899999999998</v>
          </cell>
        </row>
        <row r="48">
          <cell r="A48">
            <v>2.8840315030000001</v>
          </cell>
          <cell r="B48">
            <v>2.68669</v>
          </cell>
          <cell r="C48">
            <v>-7.4659199999999997</v>
          </cell>
        </row>
        <row r="49">
          <cell r="A49">
            <v>2.9512092270000001</v>
          </cell>
          <cell r="B49">
            <v>2.85425</v>
          </cell>
          <cell r="C49">
            <v>-7.1180899999999996</v>
          </cell>
        </row>
        <row r="50">
          <cell r="A50">
            <v>3.0199517199999999</v>
          </cell>
          <cell r="B50">
            <v>3.0205299999999999</v>
          </cell>
          <cell r="C50">
            <v>-6.7723599999999999</v>
          </cell>
        </row>
        <row r="51">
          <cell r="A51">
            <v>3.0902954330000001</v>
          </cell>
          <cell r="B51">
            <v>3.1855000000000002</v>
          </cell>
          <cell r="C51">
            <v>-6.4287999999999998</v>
          </cell>
        </row>
        <row r="52">
          <cell r="A52">
            <v>3.16227766</v>
          </cell>
          <cell r="B52">
            <v>3.34911</v>
          </cell>
          <cell r="C52">
            <v>-6.0874899999999998</v>
          </cell>
        </row>
        <row r="53">
          <cell r="A53">
            <v>3.2359365690000002</v>
          </cell>
          <cell r="B53">
            <v>3.5113400000000001</v>
          </cell>
          <cell r="C53">
            <v>-5.7484999999999999</v>
          </cell>
        </row>
        <row r="54">
          <cell r="A54">
            <v>3.3113112149999999</v>
          </cell>
          <cell r="B54">
            <v>3.6721400000000002</v>
          </cell>
          <cell r="C54">
            <v>-5.4119099999999998</v>
          </cell>
        </row>
        <row r="55">
          <cell r="A55">
            <v>3.388441561</v>
          </cell>
          <cell r="B55">
            <v>3.8314699999999999</v>
          </cell>
          <cell r="C55">
            <v>-5.0777799999999997</v>
          </cell>
        </row>
        <row r="56">
          <cell r="A56">
            <v>3.467368505</v>
          </cell>
          <cell r="B56">
            <v>3.9892799999999999</v>
          </cell>
          <cell r="C56">
            <v>-4.7462</v>
          </cell>
        </row>
        <row r="57">
          <cell r="A57">
            <v>3.5481338920000001</v>
          </cell>
          <cell r="B57">
            <v>4.1455399999999996</v>
          </cell>
          <cell r="C57">
            <v>-4.4172399999999996</v>
          </cell>
        </row>
        <row r="58">
          <cell r="A58">
            <v>3.6307805480000002</v>
          </cell>
          <cell r="B58">
            <v>4.3002099999999999</v>
          </cell>
          <cell r="C58">
            <v>-4.0909800000000001</v>
          </cell>
        </row>
        <row r="59">
          <cell r="A59">
            <v>3.7153522909999999</v>
          </cell>
          <cell r="B59">
            <v>4.4532400000000001</v>
          </cell>
          <cell r="C59">
            <v>-3.76749</v>
          </cell>
        </row>
        <row r="60">
          <cell r="A60">
            <v>3.8018939629999999</v>
          </cell>
          <cell r="B60">
            <v>4.6045999999999996</v>
          </cell>
          <cell r="C60">
            <v>-3.44685</v>
          </cell>
        </row>
        <row r="61">
          <cell r="A61">
            <v>3.89045145</v>
          </cell>
          <cell r="B61">
            <v>4.7542499999999999</v>
          </cell>
          <cell r="C61">
            <v>-3.1291500000000001</v>
          </cell>
        </row>
        <row r="62">
          <cell r="A62">
            <v>3.9810717059999998</v>
          </cell>
          <cell r="B62">
            <v>4.9021299999999997</v>
          </cell>
          <cell r="C62">
            <v>-2.8144499999999999</v>
          </cell>
        </row>
        <row r="63">
          <cell r="A63">
            <v>4.0738027780000001</v>
          </cell>
          <cell r="B63">
            <v>5.0482300000000002</v>
          </cell>
          <cell r="C63">
            <v>-2.50285</v>
          </cell>
        </row>
        <row r="64">
          <cell r="A64">
            <v>4.168693835</v>
          </cell>
          <cell r="B64">
            <v>5.1924900000000003</v>
          </cell>
          <cell r="C64">
            <v>-2.19441</v>
          </cell>
        </row>
        <row r="65">
          <cell r="A65">
            <v>4.2657951880000002</v>
          </cell>
          <cell r="B65">
            <v>5.3348899999999997</v>
          </cell>
          <cell r="C65">
            <v>-1.8892100000000001</v>
          </cell>
        </row>
        <row r="66">
          <cell r="A66">
            <v>4.3651583220000001</v>
          </cell>
          <cell r="B66">
            <v>5.4753699999999998</v>
          </cell>
          <cell r="C66">
            <v>-1.58734</v>
          </cell>
        </row>
        <row r="67">
          <cell r="A67">
            <v>4.4668359219999996</v>
          </cell>
          <cell r="B67">
            <v>5.6139200000000002</v>
          </cell>
          <cell r="C67">
            <v>-1.2888599999999999</v>
          </cell>
        </row>
        <row r="68">
          <cell r="A68">
            <v>4.5708818960000004</v>
          </cell>
          <cell r="B68">
            <v>5.7504900000000001</v>
          </cell>
          <cell r="C68">
            <v>-0.99385299999999999</v>
          </cell>
        </row>
        <row r="69">
          <cell r="A69">
            <v>4.6773514130000002</v>
          </cell>
          <cell r="B69">
            <v>5.88504</v>
          </cell>
          <cell r="C69">
            <v>-0.70239600000000002</v>
          </cell>
        </row>
        <row r="70">
          <cell r="A70">
            <v>4.7863009229999998</v>
          </cell>
          <cell r="B70">
            <v>6.0175599999999996</v>
          </cell>
          <cell r="C70">
            <v>-0.41455900000000001</v>
          </cell>
        </row>
        <row r="71">
          <cell r="A71">
            <v>4.8977881940000003</v>
          </cell>
          <cell r="B71">
            <v>6.1479999999999997</v>
          </cell>
          <cell r="C71">
            <v>-0.130414</v>
          </cell>
        </row>
        <row r="72">
          <cell r="A72">
            <v>5.0118723359999997</v>
          </cell>
          <cell r="B72">
            <v>6.2763400000000003</v>
          </cell>
          <cell r="C72">
            <v>0.14996899999999999</v>
          </cell>
        </row>
        <row r="73">
          <cell r="A73">
            <v>5.1286138399999999</v>
          </cell>
          <cell r="B73">
            <v>6.4025400000000001</v>
          </cell>
          <cell r="C73">
            <v>0.42652400000000001</v>
          </cell>
        </row>
        <row r="74">
          <cell r="A74">
            <v>5.248074602</v>
          </cell>
          <cell r="B74">
            <v>6.5266000000000002</v>
          </cell>
          <cell r="C74">
            <v>0.699183</v>
          </cell>
        </row>
        <row r="75">
          <cell r="A75">
            <v>5.3703179639999998</v>
          </cell>
          <cell r="B75">
            <v>6.6484699999999997</v>
          </cell>
          <cell r="C75">
            <v>0.96788399999999997</v>
          </cell>
        </row>
        <row r="76">
          <cell r="A76">
            <v>5.4954087390000002</v>
          </cell>
          <cell r="B76">
            <v>6.7681300000000002</v>
          </cell>
          <cell r="C76">
            <v>1.2325699999999999</v>
          </cell>
        </row>
        <row r="77">
          <cell r="A77">
            <v>5.6234132519999998</v>
          </cell>
          <cell r="B77">
            <v>6.88558</v>
          </cell>
          <cell r="C77">
            <v>1.4931700000000001</v>
          </cell>
        </row>
        <row r="78">
          <cell r="A78">
            <v>5.754399373</v>
          </cell>
          <cell r="B78">
            <v>7.0007900000000003</v>
          </cell>
          <cell r="C78">
            <v>1.7496400000000001</v>
          </cell>
        </row>
        <row r="79">
          <cell r="A79">
            <v>5.8884365540000001</v>
          </cell>
          <cell r="B79">
            <v>7.11374</v>
          </cell>
          <cell r="C79">
            <v>2.0019300000000002</v>
          </cell>
        </row>
        <row r="80">
          <cell r="A80">
            <v>6.0255958610000002</v>
          </cell>
          <cell r="B80">
            <v>7.2244200000000003</v>
          </cell>
          <cell r="C80">
            <v>2.2499799999999999</v>
          </cell>
        </row>
        <row r="81">
          <cell r="A81">
            <v>6.1659500190000003</v>
          </cell>
          <cell r="B81">
            <v>7.3328199999999999</v>
          </cell>
          <cell r="C81">
            <v>2.49376</v>
          </cell>
        </row>
        <row r="82">
          <cell r="A82">
            <v>6.3095734449999998</v>
          </cell>
          <cell r="B82">
            <v>7.43893</v>
          </cell>
          <cell r="C82">
            <v>2.7332200000000002</v>
          </cell>
        </row>
        <row r="83">
          <cell r="A83">
            <v>6.4565422899999998</v>
          </cell>
          <cell r="B83">
            <v>7.5427400000000002</v>
          </cell>
          <cell r="C83">
            <v>2.9683199999999998</v>
          </cell>
        </row>
        <row r="84">
          <cell r="A84">
            <v>6.6069344799999996</v>
          </cell>
          <cell r="B84">
            <v>7.6442600000000001</v>
          </cell>
          <cell r="C84">
            <v>3.19902</v>
          </cell>
        </row>
        <row r="85">
          <cell r="A85">
            <v>6.7608297540000004</v>
          </cell>
          <cell r="B85">
            <v>7.7434700000000003</v>
          </cell>
          <cell r="C85">
            <v>3.4253100000000001</v>
          </cell>
        </row>
        <row r="86">
          <cell r="A86">
            <v>6.9183097089999999</v>
          </cell>
          <cell r="B86">
            <v>7.8403799999999997</v>
          </cell>
          <cell r="C86">
            <v>3.6471499999999999</v>
          </cell>
        </row>
        <row r="87">
          <cell r="A87">
            <v>7.0794578440000002</v>
          </cell>
          <cell r="B87">
            <v>7.9349999999999996</v>
          </cell>
          <cell r="C87">
            <v>3.8645100000000001</v>
          </cell>
        </row>
        <row r="88">
          <cell r="A88">
            <v>7.2443596010000002</v>
          </cell>
          <cell r="B88">
            <v>8.0273199999999996</v>
          </cell>
          <cell r="C88">
            <v>4.0773999999999999</v>
          </cell>
        </row>
        <row r="89">
          <cell r="A89">
            <v>7.4131024129999998</v>
          </cell>
          <cell r="B89">
            <v>8.1173599999999997</v>
          </cell>
          <cell r="C89">
            <v>4.2857799999999999</v>
          </cell>
        </row>
        <row r="90">
          <cell r="A90">
            <v>7.5857757499999998</v>
          </cell>
          <cell r="B90">
            <v>8.2051300000000005</v>
          </cell>
          <cell r="C90">
            <v>4.4896599999999998</v>
          </cell>
        </row>
        <row r="91">
          <cell r="A91">
            <v>7.7624711660000001</v>
          </cell>
          <cell r="B91">
            <v>8.2906300000000002</v>
          </cell>
          <cell r="C91">
            <v>4.6890200000000002</v>
          </cell>
        </row>
        <row r="92">
          <cell r="A92">
            <v>7.9432823470000002</v>
          </cell>
          <cell r="B92">
            <v>8.3739000000000008</v>
          </cell>
          <cell r="C92">
            <v>4.8838800000000004</v>
          </cell>
        </row>
        <row r="93">
          <cell r="A93">
            <v>8.1283051620000002</v>
          </cell>
          <cell r="B93">
            <v>8.4549299999999992</v>
          </cell>
          <cell r="C93">
            <v>5.07423</v>
          </cell>
        </row>
        <row r="94">
          <cell r="A94">
            <v>8.3176377109999997</v>
          </cell>
          <cell r="B94">
            <v>8.5337499999999995</v>
          </cell>
          <cell r="C94">
            <v>5.2600899999999999</v>
          </cell>
        </row>
        <row r="95">
          <cell r="A95">
            <v>8.5113803820000005</v>
          </cell>
          <cell r="B95">
            <v>8.6103900000000007</v>
          </cell>
          <cell r="C95">
            <v>5.4414600000000002</v>
          </cell>
        </row>
        <row r="96">
          <cell r="A96">
            <v>8.7096359000000003</v>
          </cell>
          <cell r="B96">
            <v>8.6848600000000005</v>
          </cell>
          <cell r="C96">
            <v>5.6183699999999996</v>
          </cell>
        </row>
        <row r="97">
          <cell r="A97">
            <v>8.9125093809999996</v>
          </cell>
          <cell r="B97">
            <v>8.7571999999999992</v>
          </cell>
          <cell r="C97">
            <v>5.7908400000000002</v>
          </cell>
        </row>
        <row r="98">
          <cell r="A98">
            <v>9.1201083940000007</v>
          </cell>
          <cell r="B98">
            <v>8.82742</v>
          </cell>
          <cell r="C98">
            <v>5.9588999999999999</v>
          </cell>
        </row>
        <row r="99">
          <cell r="A99">
            <v>9.332543008</v>
          </cell>
          <cell r="B99">
            <v>8.8955599999999997</v>
          </cell>
          <cell r="C99">
            <v>6.1225699999999996</v>
          </cell>
        </row>
        <row r="100">
          <cell r="A100">
            <v>9.5499258600000001</v>
          </cell>
          <cell r="B100">
            <v>8.9616500000000006</v>
          </cell>
          <cell r="C100">
            <v>6.2818899999999998</v>
          </cell>
        </row>
        <row r="101">
          <cell r="A101">
            <v>9.7723722100000003</v>
          </cell>
          <cell r="B101">
            <v>9.0257199999999997</v>
          </cell>
          <cell r="C101">
            <v>6.4369100000000001</v>
          </cell>
        </row>
        <row r="102">
          <cell r="A102">
            <v>10</v>
          </cell>
          <cell r="B102">
            <v>9.0877999999999997</v>
          </cell>
          <cell r="C102">
            <v>6.5876599999999996</v>
          </cell>
        </row>
        <row r="103">
          <cell r="A103">
            <v>10.23292992</v>
          </cell>
          <cell r="B103">
            <v>9.1479300000000006</v>
          </cell>
          <cell r="C103">
            <v>6.7341899999999999</v>
          </cell>
        </row>
        <row r="104">
          <cell r="A104">
            <v>10.471285480000001</v>
          </cell>
          <cell r="B104">
            <v>9.2061399999999995</v>
          </cell>
          <cell r="C104">
            <v>6.8765599999999996</v>
          </cell>
        </row>
        <row r="105">
          <cell r="A105">
            <v>10.71519305</v>
          </cell>
          <cell r="B105">
            <v>9.2624700000000004</v>
          </cell>
          <cell r="C105">
            <v>7.0148000000000001</v>
          </cell>
        </row>
        <row r="106">
          <cell r="A106">
            <v>10.96478196</v>
          </cell>
          <cell r="B106">
            <v>9.3169500000000003</v>
          </cell>
          <cell r="C106">
            <v>7.1489799999999999</v>
          </cell>
        </row>
        <row r="107">
          <cell r="A107">
            <v>11.22018454</v>
          </cell>
          <cell r="B107">
            <v>9.3696300000000008</v>
          </cell>
          <cell r="C107">
            <v>7.2791600000000001</v>
          </cell>
        </row>
        <row r="108">
          <cell r="A108">
            <v>11.48153621</v>
          </cell>
          <cell r="B108">
            <v>9.4205400000000008</v>
          </cell>
          <cell r="C108">
            <v>7.4054000000000002</v>
          </cell>
        </row>
        <row r="109">
          <cell r="A109">
            <v>11.748975550000001</v>
          </cell>
          <cell r="B109">
            <v>9.4697300000000002</v>
          </cell>
          <cell r="C109">
            <v>7.5277700000000003</v>
          </cell>
        </row>
        <row r="110">
          <cell r="A110">
            <v>12.02264435</v>
          </cell>
          <cell r="B110">
            <v>9.5172299999999996</v>
          </cell>
          <cell r="C110">
            <v>7.6463200000000002</v>
          </cell>
        </row>
        <row r="111">
          <cell r="A111">
            <v>12.302687710000001</v>
          </cell>
          <cell r="B111">
            <v>9.5630799999999994</v>
          </cell>
          <cell r="C111">
            <v>7.7611299999999996</v>
          </cell>
        </row>
        <row r="112">
          <cell r="A112">
            <v>12.58925412</v>
          </cell>
          <cell r="B112">
            <v>9.6073299999999993</v>
          </cell>
          <cell r="C112">
            <v>7.8722700000000003</v>
          </cell>
        </row>
        <row r="113">
          <cell r="A113">
            <v>12.882495520000001</v>
          </cell>
          <cell r="B113">
            <v>9.65001</v>
          </cell>
          <cell r="C113">
            <v>7.9798099999999996</v>
          </cell>
        </row>
        <row r="114">
          <cell r="A114">
            <v>13.182567390000001</v>
          </cell>
          <cell r="B114">
            <v>9.69116</v>
          </cell>
          <cell r="C114">
            <v>8.0838199999999993</v>
          </cell>
        </row>
        <row r="115">
          <cell r="A115">
            <v>13.489628829999999</v>
          </cell>
          <cell r="B115">
            <v>9.7308299999999992</v>
          </cell>
          <cell r="C115">
            <v>8.1843800000000009</v>
          </cell>
        </row>
        <row r="116">
          <cell r="A116">
            <v>13.80384265</v>
          </cell>
          <cell r="B116">
            <v>9.7690599999999996</v>
          </cell>
          <cell r="C116">
            <v>8.2815600000000007</v>
          </cell>
        </row>
        <row r="117">
          <cell r="A117">
            <v>14.12537545</v>
          </cell>
          <cell r="B117">
            <v>9.8058800000000002</v>
          </cell>
          <cell r="C117">
            <v>8.3754500000000007</v>
          </cell>
        </row>
        <row r="118">
          <cell r="A118">
            <v>14.45439771</v>
          </cell>
          <cell r="B118">
            <v>9.8413400000000006</v>
          </cell>
          <cell r="C118">
            <v>8.4661100000000005</v>
          </cell>
        </row>
        <row r="119">
          <cell r="A119">
            <v>14.79108388</v>
          </cell>
          <cell r="B119">
            <v>9.8754799999999996</v>
          </cell>
          <cell r="C119">
            <v>8.5536300000000001</v>
          </cell>
        </row>
        <row r="120">
          <cell r="A120">
            <v>15.135612480000001</v>
          </cell>
          <cell r="B120">
            <v>9.9083400000000008</v>
          </cell>
          <cell r="C120">
            <v>8.6380800000000004</v>
          </cell>
        </row>
        <row r="121">
          <cell r="A121">
            <v>15.488166189999999</v>
          </cell>
          <cell r="B121">
            <v>9.9399499999999996</v>
          </cell>
          <cell r="C121">
            <v>8.7195400000000003</v>
          </cell>
        </row>
        <row r="122">
          <cell r="A122">
            <v>15.84893192</v>
          </cell>
          <cell r="B122">
            <v>9.9703499999999998</v>
          </cell>
          <cell r="C122">
            <v>8.7980999999999998</v>
          </cell>
        </row>
        <row r="123">
          <cell r="A123">
            <v>16.218100969999998</v>
          </cell>
          <cell r="B123">
            <v>9.9995899999999995</v>
          </cell>
          <cell r="C123">
            <v>8.8738200000000003</v>
          </cell>
        </row>
        <row r="124">
          <cell r="A124">
            <v>16.595869069999999</v>
          </cell>
          <cell r="B124">
            <v>10.027699999999999</v>
          </cell>
          <cell r="C124">
            <v>8.94679</v>
          </cell>
        </row>
        <row r="125">
          <cell r="A125">
            <v>16.98243652</v>
          </cell>
          <cell r="B125">
            <v>10.0547</v>
          </cell>
          <cell r="C125">
            <v>9.01708</v>
          </cell>
        </row>
        <row r="126">
          <cell r="A126">
            <v>17.37800829</v>
          </cell>
          <cell r="B126">
            <v>10.0807</v>
          </cell>
          <cell r="C126">
            <v>9.0847800000000003</v>
          </cell>
        </row>
        <row r="127">
          <cell r="A127">
            <v>17.7827941</v>
          </cell>
          <cell r="B127">
            <v>10.105600000000001</v>
          </cell>
          <cell r="C127">
            <v>9.1499500000000005</v>
          </cell>
        </row>
        <row r="128">
          <cell r="A128">
            <v>18.197008589999999</v>
          </cell>
          <cell r="B128">
            <v>10.1295</v>
          </cell>
          <cell r="C128">
            <v>9.2126800000000006</v>
          </cell>
        </row>
        <row r="129">
          <cell r="A129">
            <v>18.62087137</v>
          </cell>
          <cell r="B129">
            <v>10.1525</v>
          </cell>
          <cell r="C129">
            <v>9.2730300000000003</v>
          </cell>
        </row>
        <row r="130">
          <cell r="A130">
            <v>19.054607180000001</v>
          </cell>
          <cell r="B130">
            <v>10.1746</v>
          </cell>
          <cell r="C130">
            <v>9.33108</v>
          </cell>
        </row>
        <row r="131">
          <cell r="A131">
            <v>19.498446000000001</v>
          </cell>
          <cell r="B131">
            <v>10.1958</v>
          </cell>
          <cell r="C131">
            <v>9.3869100000000003</v>
          </cell>
        </row>
        <row r="132">
          <cell r="A132">
            <v>19.952623150000001</v>
          </cell>
          <cell r="B132">
            <v>10.216100000000001</v>
          </cell>
          <cell r="C132">
            <v>9.4405800000000006</v>
          </cell>
        </row>
        <row r="133">
          <cell r="A133">
            <v>20.417379449999999</v>
          </cell>
          <cell r="B133">
            <v>10.2356</v>
          </cell>
          <cell r="C133">
            <v>9.4921600000000002</v>
          </cell>
        </row>
        <row r="134">
          <cell r="A134">
            <v>20.89296131</v>
          </cell>
          <cell r="B134">
            <v>10.254300000000001</v>
          </cell>
          <cell r="C134">
            <v>9.5417299999999994</v>
          </cell>
        </row>
        <row r="135">
          <cell r="A135">
            <v>21.379620899999999</v>
          </cell>
          <cell r="B135">
            <v>10.2723</v>
          </cell>
          <cell r="C135">
            <v>9.5893499999999996</v>
          </cell>
        </row>
        <row r="136">
          <cell r="A136">
            <v>21.877616239999998</v>
          </cell>
          <cell r="B136">
            <v>10.2895</v>
          </cell>
          <cell r="C136">
            <v>9.6350899999999999</v>
          </cell>
        </row>
        <row r="137">
          <cell r="A137">
            <v>22.387211390000001</v>
          </cell>
          <cell r="B137">
            <v>10.305899999999999</v>
          </cell>
          <cell r="C137">
            <v>9.6790099999999999</v>
          </cell>
        </row>
        <row r="138">
          <cell r="A138">
            <v>22.908676530000001</v>
          </cell>
          <cell r="B138">
            <v>10.3218</v>
          </cell>
          <cell r="C138">
            <v>9.7211700000000008</v>
          </cell>
        </row>
        <row r="139">
          <cell r="A139">
            <v>23.44228815</v>
          </cell>
          <cell r="B139">
            <v>10.3369</v>
          </cell>
          <cell r="C139">
            <v>9.7616399999999999</v>
          </cell>
        </row>
        <row r="140">
          <cell r="A140">
            <v>23.988329190000002</v>
          </cell>
          <cell r="B140">
            <v>10.3514</v>
          </cell>
          <cell r="C140">
            <v>9.8004700000000007</v>
          </cell>
        </row>
        <row r="141">
          <cell r="A141">
            <v>24.547089159999999</v>
          </cell>
          <cell r="B141">
            <v>10.3653</v>
          </cell>
          <cell r="C141">
            <v>9.8377400000000002</v>
          </cell>
        </row>
        <row r="142">
          <cell r="A142">
            <v>25.11886432</v>
          </cell>
          <cell r="B142">
            <v>10.3787</v>
          </cell>
          <cell r="C142">
            <v>9.8734800000000007</v>
          </cell>
        </row>
        <row r="143">
          <cell r="A143">
            <v>25.70395783</v>
          </cell>
          <cell r="B143">
            <v>10.391400000000001</v>
          </cell>
          <cell r="C143">
            <v>9.9077599999999997</v>
          </cell>
        </row>
        <row r="144">
          <cell r="A144">
            <v>26.302679919999999</v>
          </cell>
          <cell r="B144">
            <v>10.403700000000001</v>
          </cell>
          <cell r="C144">
            <v>9.9406400000000001</v>
          </cell>
        </row>
        <row r="145">
          <cell r="A145">
            <v>26.915348040000001</v>
          </cell>
          <cell r="B145">
            <v>10.4154</v>
          </cell>
          <cell r="C145">
            <v>9.9721600000000006</v>
          </cell>
        </row>
        <row r="146">
          <cell r="A146">
            <v>27.542287030000001</v>
          </cell>
          <cell r="B146">
            <v>10.426600000000001</v>
          </cell>
          <cell r="C146">
            <v>10.0024</v>
          </cell>
        </row>
        <row r="147">
          <cell r="A147">
            <v>28.18382931</v>
          </cell>
          <cell r="B147">
            <v>10.4373</v>
          </cell>
          <cell r="C147">
            <v>10.0313</v>
          </cell>
        </row>
        <row r="148">
          <cell r="A148">
            <v>28.840315029999999</v>
          </cell>
          <cell r="B148">
            <v>10.4476</v>
          </cell>
          <cell r="C148">
            <v>10.059100000000001</v>
          </cell>
        </row>
        <row r="149">
          <cell r="A149">
            <v>29.51209227</v>
          </cell>
          <cell r="B149">
            <v>10.4574</v>
          </cell>
          <cell r="C149">
            <v>10.085699999999999</v>
          </cell>
        </row>
        <row r="150">
          <cell r="A150">
            <v>30.199517199999999</v>
          </cell>
          <cell r="B150">
            <v>10.466799999999999</v>
          </cell>
          <cell r="C150">
            <v>10.1112</v>
          </cell>
        </row>
        <row r="151">
          <cell r="A151">
            <v>30.90295433</v>
          </cell>
          <cell r="B151">
            <v>10.4758</v>
          </cell>
          <cell r="C151">
            <v>10.1356</v>
          </cell>
        </row>
        <row r="152">
          <cell r="A152">
            <v>31.622776600000002</v>
          </cell>
          <cell r="B152">
            <v>10.484500000000001</v>
          </cell>
          <cell r="C152">
            <v>10.158899999999999</v>
          </cell>
        </row>
        <row r="153">
          <cell r="A153">
            <v>32.359365689999997</v>
          </cell>
          <cell r="B153">
            <v>10.492699999999999</v>
          </cell>
          <cell r="C153">
            <v>10.1813</v>
          </cell>
        </row>
        <row r="154">
          <cell r="A154">
            <v>33.113112149999999</v>
          </cell>
          <cell r="B154">
            <v>10.5006</v>
          </cell>
          <cell r="C154">
            <v>10.2028</v>
          </cell>
        </row>
        <row r="155">
          <cell r="A155">
            <v>33.884415609999998</v>
          </cell>
          <cell r="B155">
            <v>10.5082</v>
          </cell>
          <cell r="C155">
            <v>10.2233</v>
          </cell>
        </row>
        <row r="156">
          <cell r="A156">
            <v>34.673685050000003</v>
          </cell>
          <cell r="B156">
            <v>10.5154</v>
          </cell>
          <cell r="C156">
            <v>10.242900000000001</v>
          </cell>
        </row>
        <row r="157">
          <cell r="A157">
            <v>35.481338919999999</v>
          </cell>
          <cell r="B157">
            <v>10.5223</v>
          </cell>
          <cell r="C157">
            <v>10.261799999999999</v>
          </cell>
        </row>
        <row r="158">
          <cell r="A158">
            <v>36.307805479999999</v>
          </cell>
          <cell r="B158">
            <v>10.5289</v>
          </cell>
          <cell r="C158">
            <v>10.2798</v>
          </cell>
        </row>
        <row r="159">
          <cell r="A159">
            <v>37.15352291</v>
          </cell>
          <cell r="B159">
            <v>10.5352</v>
          </cell>
          <cell r="C159">
            <v>10.297000000000001</v>
          </cell>
        </row>
        <row r="160">
          <cell r="A160">
            <v>38.018939629999998</v>
          </cell>
          <cell r="B160">
            <v>10.5413</v>
          </cell>
          <cell r="C160">
            <v>10.313499999999999</v>
          </cell>
        </row>
        <row r="161">
          <cell r="A161">
            <v>38.904514499999998</v>
          </cell>
          <cell r="B161">
            <v>10.547000000000001</v>
          </cell>
          <cell r="C161">
            <v>10.3293</v>
          </cell>
        </row>
        <row r="162">
          <cell r="A162">
            <v>39.810717060000002</v>
          </cell>
          <cell r="B162">
            <v>10.5526</v>
          </cell>
          <cell r="C162">
            <v>10.3444</v>
          </cell>
        </row>
        <row r="163">
          <cell r="A163">
            <v>40.738027780000003</v>
          </cell>
          <cell r="B163">
            <v>10.5579</v>
          </cell>
          <cell r="C163">
            <v>10.3588</v>
          </cell>
        </row>
        <row r="164">
          <cell r="A164">
            <v>41.686938349999998</v>
          </cell>
          <cell r="B164">
            <v>10.562900000000001</v>
          </cell>
          <cell r="C164">
            <v>10.3726</v>
          </cell>
        </row>
        <row r="165">
          <cell r="A165">
            <v>42.657951879999999</v>
          </cell>
          <cell r="B165">
            <v>10.5677</v>
          </cell>
          <cell r="C165">
            <v>10.3858</v>
          </cell>
        </row>
        <row r="166">
          <cell r="A166">
            <v>43.651583219999999</v>
          </cell>
          <cell r="B166">
            <v>10.5724</v>
          </cell>
          <cell r="C166">
            <v>10.3985</v>
          </cell>
        </row>
        <row r="167">
          <cell r="A167">
            <v>44.668359219999999</v>
          </cell>
          <cell r="B167">
            <v>10.5768</v>
          </cell>
          <cell r="C167">
            <v>10.410600000000001</v>
          </cell>
        </row>
        <row r="168">
          <cell r="A168">
            <v>45.708818960000002</v>
          </cell>
          <cell r="B168">
            <v>10.581</v>
          </cell>
          <cell r="C168">
            <v>10.4221</v>
          </cell>
        </row>
        <row r="169">
          <cell r="A169">
            <v>46.773514130000002</v>
          </cell>
          <cell r="B169">
            <v>10.585000000000001</v>
          </cell>
          <cell r="C169">
            <v>10.433199999999999</v>
          </cell>
        </row>
        <row r="170">
          <cell r="A170">
            <v>47.863009230000003</v>
          </cell>
          <cell r="B170">
            <v>10.588900000000001</v>
          </cell>
          <cell r="C170">
            <v>10.4438</v>
          </cell>
        </row>
        <row r="171">
          <cell r="A171">
            <v>48.977881940000003</v>
          </cell>
          <cell r="B171">
            <v>10.592599999999999</v>
          </cell>
          <cell r="C171">
            <v>10.453900000000001</v>
          </cell>
        </row>
        <row r="172">
          <cell r="A172">
            <v>50.118723359999997</v>
          </cell>
          <cell r="B172">
            <v>10.5961</v>
          </cell>
          <cell r="C172">
            <v>10.4636</v>
          </cell>
        </row>
        <row r="173">
          <cell r="A173">
            <v>51.286138399999999</v>
          </cell>
          <cell r="B173">
            <v>10.599500000000001</v>
          </cell>
          <cell r="C173">
            <v>10.472799999999999</v>
          </cell>
        </row>
        <row r="174">
          <cell r="A174">
            <v>52.480746019999998</v>
          </cell>
          <cell r="B174">
            <v>10.6027</v>
          </cell>
          <cell r="C174">
            <v>10.4817</v>
          </cell>
        </row>
        <row r="175">
          <cell r="A175">
            <v>53.703179640000002</v>
          </cell>
          <cell r="B175">
            <v>10.6058</v>
          </cell>
          <cell r="C175">
            <v>10.4901</v>
          </cell>
        </row>
        <row r="176">
          <cell r="A176">
            <v>54.954087389999998</v>
          </cell>
          <cell r="B176">
            <v>10.608700000000001</v>
          </cell>
          <cell r="C176">
            <v>10.498200000000001</v>
          </cell>
        </row>
        <row r="177">
          <cell r="A177">
            <v>56.234132520000003</v>
          </cell>
          <cell r="B177">
            <v>10.611499999999999</v>
          </cell>
          <cell r="C177">
            <v>10.5059</v>
          </cell>
        </row>
        <row r="178">
          <cell r="A178">
            <v>57.543993729999997</v>
          </cell>
          <cell r="B178">
            <v>10.6142</v>
          </cell>
          <cell r="C178">
            <v>10.513299999999999</v>
          </cell>
        </row>
        <row r="179">
          <cell r="A179">
            <v>58.884365539999997</v>
          </cell>
          <cell r="B179">
            <v>10.6168</v>
          </cell>
          <cell r="C179">
            <v>10.520300000000001</v>
          </cell>
        </row>
        <row r="180">
          <cell r="A180">
            <v>60.25595861</v>
          </cell>
          <cell r="B180">
            <v>10.619199999999999</v>
          </cell>
          <cell r="C180">
            <v>10.527100000000001</v>
          </cell>
        </row>
        <row r="181">
          <cell r="A181">
            <v>61.659500190000003</v>
          </cell>
          <cell r="B181">
            <v>10.621499999999999</v>
          </cell>
          <cell r="C181">
            <v>10.5335</v>
          </cell>
        </row>
        <row r="182">
          <cell r="A182">
            <v>63.095734450000002</v>
          </cell>
          <cell r="B182">
            <v>10.623799999999999</v>
          </cell>
          <cell r="C182">
            <v>10.5397</v>
          </cell>
        </row>
        <row r="183">
          <cell r="A183">
            <v>64.565422900000002</v>
          </cell>
          <cell r="B183">
            <v>10.6259</v>
          </cell>
          <cell r="C183">
            <v>10.5456</v>
          </cell>
        </row>
        <row r="184">
          <cell r="A184">
            <v>66.069344799999996</v>
          </cell>
          <cell r="B184">
            <v>10.628</v>
          </cell>
          <cell r="C184">
            <v>10.5512</v>
          </cell>
        </row>
        <row r="185">
          <cell r="A185">
            <v>67.608297539999995</v>
          </cell>
          <cell r="B185">
            <v>10.629899999999999</v>
          </cell>
          <cell r="C185">
            <v>10.5566</v>
          </cell>
        </row>
        <row r="186">
          <cell r="A186">
            <v>69.183097090000004</v>
          </cell>
          <cell r="B186">
            <v>10.6318</v>
          </cell>
          <cell r="C186">
            <v>10.5617</v>
          </cell>
        </row>
        <row r="187">
          <cell r="A187">
            <v>70.794578439999995</v>
          </cell>
          <cell r="B187">
            <v>10.633599999999999</v>
          </cell>
          <cell r="C187">
            <v>10.566599999999999</v>
          </cell>
        </row>
        <row r="188">
          <cell r="A188">
            <v>72.443596009999993</v>
          </cell>
          <cell r="B188">
            <v>10.635300000000001</v>
          </cell>
          <cell r="C188">
            <v>10.571300000000001</v>
          </cell>
        </row>
        <row r="189">
          <cell r="A189">
            <v>74.13102413</v>
          </cell>
          <cell r="B189">
            <v>10.636900000000001</v>
          </cell>
          <cell r="C189">
            <v>10.575799999999999</v>
          </cell>
        </row>
        <row r="190">
          <cell r="A190">
            <v>75.857757500000005</v>
          </cell>
          <cell r="B190">
            <v>10.638400000000001</v>
          </cell>
          <cell r="C190">
            <v>10.5801</v>
          </cell>
        </row>
        <row r="191">
          <cell r="A191">
            <v>77.624711660000003</v>
          </cell>
          <cell r="B191">
            <v>10.639900000000001</v>
          </cell>
          <cell r="C191">
            <v>10.584199999999999</v>
          </cell>
        </row>
        <row r="192">
          <cell r="A192">
            <v>79.432823470000002</v>
          </cell>
          <cell r="B192">
            <v>10.641299999999999</v>
          </cell>
          <cell r="C192">
            <v>10.588100000000001</v>
          </cell>
        </row>
        <row r="193">
          <cell r="A193">
            <v>81.283051619999995</v>
          </cell>
          <cell r="B193">
            <v>10.6427</v>
          </cell>
          <cell r="C193">
            <v>10.591799999999999</v>
          </cell>
        </row>
        <row r="194">
          <cell r="A194">
            <v>83.176377110000004</v>
          </cell>
          <cell r="B194">
            <v>10.644</v>
          </cell>
          <cell r="C194">
            <v>10.5954</v>
          </cell>
        </row>
        <row r="195">
          <cell r="A195">
            <v>85.113803820000001</v>
          </cell>
          <cell r="B195">
            <v>10.645200000000001</v>
          </cell>
          <cell r="C195">
            <v>10.598800000000001</v>
          </cell>
        </row>
        <row r="196">
          <cell r="A196">
            <v>87.096359000000007</v>
          </cell>
          <cell r="B196">
            <v>10.6464</v>
          </cell>
          <cell r="C196">
            <v>10.6021</v>
          </cell>
        </row>
        <row r="197">
          <cell r="A197">
            <v>89.125093809999996</v>
          </cell>
          <cell r="B197">
            <v>10.647500000000001</v>
          </cell>
          <cell r="C197">
            <v>10.6052</v>
          </cell>
        </row>
        <row r="198">
          <cell r="A198">
            <v>91.201083940000004</v>
          </cell>
          <cell r="B198">
            <v>10.6486</v>
          </cell>
          <cell r="C198">
            <v>10.6081</v>
          </cell>
        </row>
        <row r="199">
          <cell r="A199">
            <v>93.325430080000004</v>
          </cell>
          <cell r="B199">
            <v>10.6496</v>
          </cell>
          <cell r="C199">
            <v>10.611000000000001</v>
          </cell>
        </row>
        <row r="200">
          <cell r="A200">
            <v>95.499258600000005</v>
          </cell>
          <cell r="B200">
            <v>10.650600000000001</v>
          </cell>
          <cell r="C200">
            <v>10.6137</v>
          </cell>
        </row>
        <row r="201">
          <cell r="A201">
            <v>97.723722100000003</v>
          </cell>
          <cell r="B201">
            <v>10.6515</v>
          </cell>
          <cell r="C201">
            <v>10.616300000000001</v>
          </cell>
        </row>
        <row r="202">
          <cell r="A202">
            <v>100</v>
          </cell>
          <cell r="B202">
            <v>10.6524</v>
          </cell>
          <cell r="C202">
            <v>10.6188</v>
          </cell>
        </row>
        <row r="203">
          <cell r="A203">
            <v>102.32929919999999</v>
          </cell>
          <cell r="B203">
            <v>10.6533</v>
          </cell>
          <cell r="C203">
            <v>10.6211</v>
          </cell>
        </row>
        <row r="204">
          <cell r="A204">
            <v>104.7128548</v>
          </cell>
          <cell r="B204">
            <v>10.6541</v>
          </cell>
          <cell r="C204">
            <v>10.6234</v>
          </cell>
        </row>
        <row r="205">
          <cell r="A205">
            <v>107.15193050000001</v>
          </cell>
          <cell r="B205">
            <v>10.6549</v>
          </cell>
          <cell r="C205">
            <v>10.625500000000001</v>
          </cell>
        </row>
        <row r="206">
          <cell r="A206">
            <v>109.64781960000001</v>
          </cell>
          <cell r="B206">
            <v>10.6556</v>
          </cell>
          <cell r="C206">
            <v>10.627599999999999</v>
          </cell>
        </row>
        <row r="207">
          <cell r="A207">
            <v>112.2018454</v>
          </cell>
          <cell r="B207">
            <v>10.6563</v>
          </cell>
          <cell r="C207">
            <v>10.6296</v>
          </cell>
        </row>
        <row r="208">
          <cell r="A208">
            <v>114.8153621</v>
          </cell>
          <cell r="B208">
            <v>10.657</v>
          </cell>
          <cell r="C208">
            <v>10.631399999999999</v>
          </cell>
        </row>
        <row r="209">
          <cell r="A209">
            <v>117.4897555</v>
          </cell>
          <cell r="B209">
            <v>10.6577</v>
          </cell>
          <cell r="C209">
            <v>10.6332</v>
          </cell>
        </row>
        <row r="210">
          <cell r="A210">
            <v>120.2264435</v>
          </cell>
          <cell r="B210">
            <v>10.658300000000001</v>
          </cell>
          <cell r="C210">
            <v>10.635</v>
          </cell>
        </row>
        <row r="211">
          <cell r="A211">
            <v>123.02687709999999</v>
          </cell>
          <cell r="B211">
            <v>10.658899999999999</v>
          </cell>
          <cell r="C211">
            <v>10.6366</v>
          </cell>
        </row>
        <row r="212">
          <cell r="A212">
            <v>125.8925412</v>
          </cell>
          <cell r="B212">
            <v>10.6594</v>
          </cell>
          <cell r="C212">
            <v>10.638199999999999</v>
          </cell>
        </row>
        <row r="213">
          <cell r="A213">
            <v>128.82495520000001</v>
          </cell>
          <cell r="B213">
            <v>10.66</v>
          </cell>
          <cell r="C213">
            <v>10.6396</v>
          </cell>
        </row>
        <row r="214">
          <cell r="A214">
            <v>131.8256739</v>
          </cell>
          <cell r="B214">
            <v>10.660500000000001</v>
          </cell>
          <cell r="C214">
            <v>10.6411</v>
          </cell>
        </row>
        <row r="215">
          <cell r="A215">
            <v>134.89628830000001</v>
          </cell>
          <cell r="B215">
            <v>10.661</v>
          </cell>
          <cell r="C215">
            <v>10.6424</v>
          </cell>
        </row>
        <row r="216">
          <cell r="A216">
            <v>138.03842650000001</v>
          </cell>
          <cell r="B216">
            <v>10.6614</v>
          </cell>
          <cell r="C216">
            <v>10.643700000000001</v>
          </cell>
        </row>
        <row r="217">
          <cell r="A217">
            <v>141.25375450000001</v>
          </cell>
          <cell r="B217">
            <v>10.661899999999999</v>
          </cell>
          <cell r="C217">
            <v>10.645</v>
          </cell>
        </row>
        <row r="218">
          <cell r="A218">
            <v>144.54397710000001</v>
          </cell>
          <cell r="B218">
            <v>10.6623</v>
          </cell>
          <cell r="C218">
            <v>10.6462</v>
          </cell>
        </row>
        <row r="219">
          <cell r="A219">
            <v>147.91083879999999</v>
          </cell>
          <cell r="B219">
            <v>10.662699999999999</v>
          </cell>
          <cell r="C219">
            <v>10.6473</v>
          </cell>
        </row>
        <row r="220">
          <cell r="A220">
            <v>151.3561248</v>
          </cell>
          <cell r="B220">
            <v>10.6631</v>
          </cell>
          <cell r="C220">
            <v>10.648400000000001</v>
          </cell>
        </row>
        <row r="221">
          <cell r="A221">
            <v>154.88166190000001</v>
          </cell>
          <cell r="B221">
            <v>10.663500000000001</v>
          </cell>
          <cell r="C221">
            <v>10.6494</v>
          </cell>
        </row>
        <row r="222">
          <cell r="A222">
            <v>158.48931920000001</v>
          </cell>
          <cell r="B222">
            <v>10.6638</v>
          </cell>
          <cell r="C222">
            <v>10.650399999999999</v>
          </cell>
        </row>
        <row r="223">
          <cell r="A223">
            <v>162.1810097</v>
          </cell>
          <cell r="B223">
            <v>10.664199999999999</v>
          </cell>
          <cell r="C223">
            <v>10.651300000000001</v>
          </cell>
        </row>
        <row r="224">
          <cell r="A224">
            <v>165.95869070000001</v>
          </cell>
          <cell r="B224">
            <v>10.6645</v>
          </cell>
          <cell r="C224">
            <v>10.652200000000001</v>
          </cell>
        </row>
        <row r="225">
          <cell r="A225">
            <v>169.82436519999999</v>
          </cell>
          <cell r="B225">
            <v>10.6648</v>
          </cell>
          <cell r="C225">
            <v>10.6531</v>
          </cell>
        </row>
        <row r="226">
          <cell r="A226">
            <v>173.7800829</v>
          </cell>
          <cell r="B226">
            <v>10.665100000000001</v>
          </cell>
          <cell r="C226">
            <v>10.6539</v>
          </cell>
        </row>
        <row r="227">
          <cell r="A227">
            <v>177.82794100000001</v>
          </cell>
          <cell r="B227">
            <v>10.6653</v>
          </cell>
          <cell r="C227">
            <v>10.6547</v>
          </cell>
        </row>
        <row r="228">
          <cell r="A228">
            <v>181.97008589999999</v>
          </cell>
          <cell r="B228">
            <v>10.6656</v>
          </cell>
          <cell r="C228">
            <v>10.6554</v>
          </cell>
        </row>
        <row r="229">
          <cell r="A229">
            <v>186.2087137</v>
          </cell>
          <cell r="B229">
            <v>10.665900000000001</v>
          </cell>
          <cell r="C229">
            <v>10.6561</v>
          </cell>
        </row>
        <row r="230">
          <cell r="A230">
            <v>190.54607179999999</v>
          </cell>
          <cell r="B230">
            <v>10.6661</v>
          </cell>
          <cell r="C230">
            <v>10.6568</v>
          </cell>
        </row>
        <row r="231">
          <cell r="A231">
            <v>194.98446000000001</v>
          </cell>
          <cell r="B231">
            <v>10.6663</v>
          </cell>
          <cell r="C231">
            <v>10.657400000000001</v>
          </cell>
        </row>
        <row r="232">
          <cell r="A232">
            <v>199.52623149999999</v>
          </cell>
          <cell r="B232">
            <v>10.666499999999999</v>
          </cell>
          <cell r="C232">
            <v>10.658099999999999</v>
          </cell>
        </row>
        <row r="233">
          <cell r="A233">
            <v>204.17379450000001</v>
          </cell>
          <cell r="B233">
            <v>10.666700000000001</v>
          </cell>
          <cell r="C233">
            <v>10.6586</v>
          </cell>
        </row>
        <row r="234">
          <cell r="A234">
            <v>208.92961310000001</v>
          </cell>
          <cell r="B234">
            <v>10.6669</v>
          </cell>
          <cell r="C234">
            <v>10.6592</v>
          </cell>
        </row>
        <row r="235">
          <cell r="A235">
            <v>213.796209</v>
          </cell>
          <cell r="B235">
            <v>10.6671</v>
          </cell>
          <cell r="C235">
            <v>10.659700000000001</v>
          </cell>
        </row>
        <row r="236">
          <cell r="A236">
            <v>218.7761624</v>
          </cell>
          <cell r="B236">
            <v>10.667299999999999</v>
          </cell>
          <cell r="C236">
            <v>10.6602</v>
          </cell>
        </row>
        <row r="237">
          <cell r="A237">
            <v>223.87211389999999</v>
          </cell>
          <cell r="B237">
            <v>10.6675</v>
          </cell>
          <cell r="C237">
            <v>10.6607</v>
          </cell>
        </row>
        <row r="238">
          <cell r="A238">
            <v>229.0867653</v>
          </cell>
          <cell r="B238">
            <v>10.6676</v>
          </cell>
          <cell r="C238">
            <v>10.661199999999999</v>
          </cell>
        </row>
        <row r="239">
          <cell r="A239">
            <v>234.42288149999999</v>
          </cell>
          <cell r="B239">
            <v>10.6678</v>
          </cell>
          <cell r="C239">
            <v>10.6616</v>
          </cell>
        </row>
        <row r="240">
          <cell r="A240">
            <v>239.88329189999999</v>
          </cell>
          <cell r="B240">
            <v>10.667899999999999</v>
          </cell>
          <cell r="C240">
            <v>10.662100000000001</v>
          </cell>
        </row>
        <row r="241">
          <cell r="A241">
            <v>245.47089159999999</v>
          </cell>
          <cell r="B241">
            <v>10.668100000000001</v>
          </cell>
          <cell r="C241">
            <v>10.6625</v>
          </cell>
        </row>
        <row r="242">
          <cell r="A242">
            <v>251.1886432</v>
          </cell>
          <cell r="B242">
            <v>10.668200000000001</v>
          </cell>
          <cell r="C242">
            <v>10.662800000000001</v>
          </cell>
        </row>
        <row r="243">
          <cell r="A243">
            <v>257.03957830000002</v>
          </cell>
          <cell r="B243">
            <v>10.6683</v>
          </cell>
          <cell r="C243">
            <v>10.6632</v>
          </cell>
        </row>
        <row r="244">
          <cell r="A244">
            <v>263.02679920000003</v>
          </cell>
          <cell r="B244">
            <v>10.6684</v>
          </cell>
          <cell r="C244">
            <v>10.663500000000001</v>
          </cell>
        </row>
        <row r="245">
          <cell r="A245">
            <v>269.15348039999998</v>
          </cell>
          <cell r="B245">
            <v>10.6685</v>
          </cell>
          <cell r="C245">
            <v>10.6639</v>
          </cell>
        </row>
        <row r="246">
          <cell r="A246">
            <v>275.4228703</v>
          </cell>
          <cell r="B246">
            <v>10.6686</v>
          </cell>
          <cell r="C246">
            <v>10.664199999999999</v>
          </cell>
        </row>
        <row r="247">
          <cell r="A247">
            <v>281.83829309999999</v>
          </cell>
          <cell r="B247">
            <v>10.668699999999999</v>
          </cell>
          <cell r="C247">
            <v>10.6645</v>
          </cell>
        </row>
        <row r="248">
          <cell r="A248">
            <v>288.40315029999999</v>
          </cell>
          <cell r="B248">
            <v>10.668799999999999</v>
          </cell>
          <cell r="C248">
            <v>10.6647</v>
          </cell>
        </row>
        <row r="249">
          <cell r="A249">
            <v>295.12092269999999</v>
          </cell>
          <cell r="B249">
            <v>10.668900000000001</v>
          </cell>
          <cell r="C249">
            <v>10.664999999999999</v>
          </cell>
        </row>
        <row r="250">
          <cell r="A250">
            <v>301.99517200000003</v>
          </cell>
          <cell r="B250">
            <v>10.669</v>
          </cell>
          <cell r="C250">
            <v>10.6653</v>
          </cell>
        </row>
        <row r="251">
          <cell r="A251">
            <v>309.0295433</v>
          </cell>
          <cell r="B251">
            <v>10.669</v>
          </cell>
          <cell r="C251">
            <v>10.6655</v>
          </cell>
        </row>
        <row r="252">
          <cell r="A252">
            <v>316.22776599999997</v>
          </cell>
          <cell r="B252">
            <v>10.6691</v>
          </cell>
          <cell r="C252">
            <v>10.665699999999999</v>
          </cell>
        </row>
        <row r="253">
          <cell r="A253">
            <v>323.59365689999998</v>
          </cell>
          <cell r="B253">
            <v>10.6692</v>
          </cell>
          <cell r="C253">
            <v>10.665900000000001</v>
          </cell>
        </row>
        <row r="254">
          <cell r="A254">
            <v>331.13112150000001</v>
          </cell>
          <cell r="B254">
            <v>10.6692</v>
          </cell>
          <cell r="C254">
            <v>10.6661</v>
          </cell>
        </row>
        <row r="255">
          <cell r="A255">
            <v>338.84415610000002</v>
          </cell>
          <cell r="B255">
            <v>10.6693</v>
          </cell>
          <cell r="C255">
            <v>10.6663</v>
          </cell>
        </row>
        <row r="256">
          <cell r="A256">
            <v>346.7368505</v>
          </cell>
          <cell r="B256">
            <v>10.6693</v>
          </cell>
          <cell r="C256">
            <v>10.666499999999999</v>
          </cell>
        </row>
        <row r="257">
          <cell r="A257">
            <v>354.81338920000002</v>
          </cell>
          <cell r="B257">
            <v>10.6693</v>
          </cell>
          <cell r="C257">
            <v>10.666700000000001</v>
          </cell>
        </row>
        <row r="258">
          <cell r="A258">
            <v>363.07805480000002</v>
          </cell>
          <cell r="B258">
            <v>10.6694</v>
          </cell>
          <cell r="C258">
            <v>10.6668</v>
          </cell>
        </row>
        <row r="259">
          <cell r="A259">
            <v>371.53522909999998</v>
          </cell>
          <cell r="B259">
            <v>10.6694</v>
          </cell>
          <cell r="C259">
            <v>10.667</v>
          </cell>
        </row>
        <row r="260">
          <cell r="A260">
            <v>380.1893963</v>
          </cell>
          <cell r="B260">
            <v>10.6694</v>
          </cell>
          <cell r="C260">
            <v>10.6671</v>
          </cell>
        </row>
        <row r="261">
          <cell r="A261">
            <v>389.04514499999999</v>
          </cell>
          <cell r="B261">
            <v>10.669499999999999</v>
          </cell>
          <cell r="C261">
            <v>10.667199999999999</v>
          </cell>
        </row>
        <row r="262">
          <cell r="A262">
            <v>398.10717060000002</v>
          </cell>
          <cell r="B262">
            <v>10.669499999999999</v>
          </cell>
          <cell r="C262">
            <v>10.667299999999999</v>
          </cell>
        </row>
        <row r="263">
          <cell r="A263">
            <v>407.38027779999999</v>
          </cell>
          <cell r="B263">
            <v>10.669499999999999</v>
          </cell>
          <cell r="C263">
            <v>10.667400000000001</v>
          </cell>
        </row>
        <row r="264">
          <cell r="A264">
            <v>416.86938350000003</v>
          </cell>
          <cell r="B264">
            <v>10.669499999999999</v>
          </cell>
          <cell r="C264">
            <v>10.6675</v>
          </cell>
        </row>
        <row r="265">
          <cell r="A265">
            <v>426.57951880000002</v>
          </cell>
          <cell r="B265">
            <v>10.669499999999999</v>
          </cell>
          <cell r="C265">
            <v>10.6676</v>
          </cell>
        </row>
        <row r="266">
          <cell r="A266">
            <v>436.51583219999998</v>
          </cell>
          <cell r="B266">
            <v>10.669499999999999</v>
          </cell>
          <cell r="C266">
            <v>10.6677</v>
          </cell>
        </row>
        <row r="267">
          <cell r="A267">
            <v>446.68359220000002</v>
          </cell>
          <cell r="B267">
            <v>10.669499999999999</v>
          </cell>
          <cell r="C267">
            <v>10.6678</v>
          </cell>
        </row>
        <row r="268">
          <cell r="A268">
            <v>457.08818960000002</v>
          </cell>
          <cell r="B268">
            <v>10.669499999999999</v>
          </cell>
          <cell r="C268">
            <v>10.667899999999999</v>
          </cell>
        </row>
        <row r="269">
          <cell r="A269">
            <v>467.73514130000001</v>
          </cell>
          <cell r="B269">
            <v>10.669499999999999</v>
          </cell>
          <cell r="C269">
            <v>10.667899999999999</v>
          </cell>
        </row>
        <row r="270">
          <cell r="A270">
            <v>478.6300923</v>
          </cell>
          <cell r="B270">
            <v>10.6694</v>
          </cell>
          <cell r="C270">
            <v>10.667999999999999</v>
          </cell>
        </row>
        <row r="271">
          <cell r="A271">
            <v>489.77881939999997</v>
          </cell>
          <cell r="B271">
            <v>10.6694</v>
          </cell>
          <cell r="C271">
            <v>10.667999999999999</v>
          </cell>
        </row>
        <row r="272">
          <cell r="A272">
            <v>501.18723360000001</v>
          </cell>
          <cell r="B272">
            <v>10.6694</v>
          </cell>
          <cell r="C272">
            <v>10.667999999999999</v>
          </cell>
        </row>
        <row r="273">
          <cell r="A273">
            <v>512.86138400000004</v>
          </cell>
          <cell r="B273">
            <v>10.6694</v>
          </cell>
          <cell r="C273">
            <v>10.668100000000001</v>
          </cell>
        </row>
        <row r="274">
          <cell r="A274">
            <v>524.80746020000004</v>
          </cell>
          <cell r="B274">
            <v>10.6693</v>
          </cell>
          <cell r="C274">
            <v>10.668100000000001</v>
          </cell>
        </row>
        <row r="275">
          <cell r="A275">
            <v>537.03179639999996</v>
          </cell>
          <cell r="B275">
            <v>10.6693</v>
          </cell>
          <cell r="C275">
            <v>10.668100000000001</v>
          </cell>
        </row>
        <row r="276">
          <cell r="A276">
            <v>549.54087389999995</v>
          </cell>
          <cell r="B276">
            <v>10.6692</v>
          </cell>
          <cell r="C276">
            <v>10.668100000000001</v>
          </cell>
        </row>
        <row r="277">
          <cell r="A277">
            <v>562.34132520000003</v>
          </cell>
          <cell r="B277">
            <v>10.6692</v>
          </cell>
          <cell r="C277">
            <v>10.668100000000001</v>
          </cell>
        </row>
        <row r="278">
          <cell r="A278">
            <v>575.4399373</v>
          </cell>
          <cell r="B278">
            <v>10.6691</v>
          </cell>
          <cell r="C278">
            <v>10.668100000000001</v>
          </cell>
        </row>
        <row r="279">
          <cell r="A279">
            <v>588.84365539999999</v>
          </cell>
          <cell r="B279">
            <v>10.6691</v>
          </cell>
          <cell r="C279">
            <v>10.668100000000001</v>
          </cell>
        </row>
        <row r="280">
          <cell r="A280">
            <v>602.55958610000005</v>
          </cell>
          <cell r="B280">
            <v>10.669</v>
          </cell>
          <cell r="C280">
            <v>10.668100000000001</v>
          </cell>
        </row>
        <row r="281">
          <cell r="A281">
            <v>616.59500190000006</v>
          </cell>
          <cell r="B281">
            <v>10.668900000000001</v>
          </cell>
          <cell r="C281">
            <v>10.667999999999999</v>
          </cell>
        </row>
        <row r="282">
          <cell r="A282">
            <v>630.95734449999998</v>
          </cell>
          <cell r="B282">
            <v>10.668799999999999</v>
          </cell>
          <cell r="C282">
            <v>10.667999999999999</v>
          </cell>
        </row>
        <row r="283">
          <cell r="A283">
            <v>645.65422899999999</v>
          </cell>
          <cell r="B283">
            <v>10.668799999999999</v>
          </cell>
          <cell r="C283">
            <v>10.667899999999999</v>
          </cell>
        </row>
        <row r="284">
          <cell r="A284">
            <v>660.69344799999999</v>
          </cell>
          <cell r="B284">
            <v>10.668699999999999</v>
          </cell>
          <cell r="C284">
            <v>10.667899999999999</v>
          </cell>
        </row>
        <row r="285">
          <cell r="A285">
            <v>676.08297540000001</v>
          </cell>
          <cell r="B285">
            <v>10.6686</v>
          </cell>
          <cell r="C285">
            <v>10.6678</v>
          </cell>
        </row>
        <row r="286">
          <cell r="A286">
            <v>691.83097090000001</v>
          </cell>
          <cell r="B286">
            <v>10.6685</v>
          </cell>
          <cell r="C286">
            <v>10.6678</v>
          </cell>
        </row>
        <row r="287">
          <cell r="A287">
            <v>707.94578439999998</v>
          </cell>
          <cell r="B287">
            <v>10.6684</v>
          </cell>
          <cell r="C287">
            <v>10.6677</v>
          </cell>
        </row>
        <row r="288">
          <cell r="A288">
            <v>724.43596009999999</v>
          </cell>
          <cell r="B288">
            <v>10.668200000000001</v>
          </cell>
          <cell r="C288">
            <v>10.6676</v>
          </cell>
        </row>
        <row r="289">
          <cell r="A289">
            <v>741.31024130000003</v>
          </cell>
          <cell r="B289">
            <v>10.668100000000001</v>
          </cell>
          <cell r="C289">
            <v>10.6675</v>
          </cell>
        </row>
        <row r="290">
          <cell r="A290">
            <v>758.57757500000002</v>
          </cell>
          <cell r="B290">
            <v>10.667999999999999</v>
          </cell>
          <cell r="C290">
            <v>10.667400000000001</v>
          </cell>
        </row>
        <row r="291">
          <cell r="A291">
            <v>776.24711660000003</v>
          </cell>
          <cell r="B291">
            <v>10.667899999999999</v>
          </cell>
          <cell r="C291">
            <v>10.667299999999999</v>
          </cell>
        </row>
        <row r="292">
          <cell r="A292">
            <v>794.32823470000005</v>
          </cell>
          <cell r="B292">
            <v>10.6677</v>
          </cell>
          <cell r="C292">
            <v>10.667199999999999</v>
          </cell>
        </row>
        <row r="293">
          <cell r="A293">
            <v>812.83051620000003</v>
          </cell>
          <cell r="B293">
            <v>10.6676</v>
          </cell>
          <cell r="C293">
            <v>10.667</v>
          </cell>
        </row>
        <row r="294">
          <cell r="A294">
            <v>831.76377109999999</v>
          </cell>
          <cell r="B294">
            <v>10.667400000000001</v>
          </cell>
          <cell r="C294">
            <v>10.6669</v>
          </cell>
        </row>
        <row r="295">
          <cell r="A295">
            <v>851.13803819999998</v>
          </cell>
          <cell r="B295">
            <v>10.667199999999999</v>
          </cell>
          <cell r="C295">
            <v>10.6668</v>
          </cell>
        </row>
        <row r="296">
          <cell r="A296">
            <v>870.96358999999995</v>
          </cell>
          <cell r="B296">
            <v>10.667</v>
          </cell>
          <cell r="C296">
            <v>10.666600000000001</v>
          </cell>
        </row>
        <row r="297">
          <cell r="A297">
            <v>891.25093809999998</v>
          </cell>
          <cell r="B297">
            <v>10.6669</v>
          </cell>
          <cell r="C297">
            <v>10.666399999999999</v>
          </cell>
        </row>
        <row r="298">
          <cell r="A298">
            <v>912.01083940000001</v>
          </cell>
          <cell r="B298">
            <v>10.666700000000001</v>
          </cell>
          <cell r="C298">
            <v>10.6662</v>
          </cell>
        </row>
        <row r="299">
          <cell r="A299">
            <v>933.25430080000001</v>
          </cell>
          <cell r="B299">
            <v>10.666399999999999</v>
          </cell>
          <cell r="C299">
            <v>10.6661</v>
          </cell>
        </row>
        <row r="300">
          <cell r="A300">
            <v>954.99258599999996</v>
          </cell>
          <cell r="B300">
            <v>10.6662</v>
          </cell>
          <cell r="C300">
            <v>10.665800000000001</v>
          </cell>
        </row>
        <row r="301">
          <cell r="A301">
            <v>977.23722099999998</v>
          </cell>
          <cell r="B301">
            <v>10.666</v>
          </cell>
          <cell r="C301">
            <v>10.6656</v>
          </cell>
        </row>
        <row r="302">
          <cell r="A302">
            <v>1000</v>
          </cell>
          <cell r="B302">
            <v>10.665699999999999</v>
          </cell>
          <cell r="C302">
            <v>10.6654</v>
          </cell>
        </row>
        <row r="303">
          <cell r="A303">
            <v>1023.292992</v>
          </cell>
          <cell r="B303">
            <v>10.6655</v>
          </cell>
          <cell r="C303">
            <v>10.6652</v>
          </cell>
        </row>
        <row r="304">
          <cell r="A304">
            <v>1047.1285479999999</v>
          </cell>
          <cell r="B304">
            <v>10.6652</v>
          </cell>
          <cell r="C304">
            <v>10.664899999999999</v>
          </cell>
        </row>
        <row r="305">
          <cell r="A305">
            <v>1071.519305</v>
          </cell>
          <cell r="B305">
            <v>10.664899999999999</v>
          </cell>
          <cell r="C305">
            <v>10.6646</v>
          </cell>
        </row>
        <row r="306">
          <cell r="A306">
            <v>1096.478196</v>
          </cell>
          <cell r="B306">
            <v>10.6646</v>
          </cell>
          <cell r="C306">
            <v>10.664400000000001</v>
          </cell>
        </row>
        <row r="307">
          <cell r="A307">
            <v>1122.018454</v>
          </cell>
          <cell r="B307">
            <v>10.664300000000001</v>
          </cell>
          <cell r="C307">
            <v>10.664099999999999</v>
          </cell>
        </row>
        <row r="308">
          <cell r="A308">
            <v>1148.1536209999999</v>
          </cell>
          <cell r="B308">
            <v>10.664</v>
          </cell>
          <cell r="C308">
            <v>10.6637</v>
          </cell>
        </row>
        <row r="309">
          <cell r="A309">
            <v>1174.897555</v>
          </cell>
          <cell r="B309">
            <v>10.6637</v>
          </cell>
          <cell r="C309">
            <v>10.663399999999999</v>
          </cell>
        </row>
        <row r="310">
          <cell r="A310">
            <v>1202.264435</v>
          </cell>
          <cell r="B310">
            <v>10.6633</v>
          </cell>
          <cell r="C310">
            <v>10.6631</v>
          </cell>
        </row>
        <row r="311">
          <cell r="A311">
            <v>1230.268771</v>
          </cell>
          <cell r="B311">
            <v>10.6629</v>
          </cell>
          <cell r="C311">
            <v>10.662699999999999</v>
          </cell>
        </row>
        <row r="312">
          <cell r="A312">
            <v>1258.9254120000001</v>
          </cell>
          <cell r="B312">
            <v>10.6625</v>
          </cell>
          <cell r="C312">
            <v>10.6623</v>
          </cell>
        </row>
        <row r="313">
          <cell r="A313">
            <v>1288.249552</v>
          </cell>
          <cell r="B313">
            <v>10.662100000000001</v>
          </cell>
          <cell r="C313">
            <v>10.661899999999999</v>
          </cell>
        </row>
        <row r="314">
          <cell r="A314">
            <v>1318.2567389999999</v>
          </cell>
          <cell r="B314">
            <v>10.6617</v>
          </cell>
          <cell r="C314">
            <v>10.6615</v>
          </cell>
        </row>
        <row r="315">
          <cell r="A315">
            <v>1348.9628829999999</v>
          </cell>
          <cell r="B315">
            <v>10.661199999999999</v>
          </cell>
          <cell r="C315">
            <v>10.661</v>
          </cell>
        </row>
        <row r="316">
          <cell r="A316">
            <v>1380.3842649999999</v>
          </cell>
          <cell r="B316">
            <v>10.6607</v>
          </cell>
          <cell r="C316">
            <v>10.660600000000001</v>
          </cell>
        </row>
        <row r="317">
          <cell r="A317">
            <v>1412.5375449999999</v>
          </cell>
          <cell r="B317">
            <v>10.6602</v>
          </cell>
          <cell r="C317">
            <v>10.6601</v>
          </cell>
        </row>
        <row r="318">
          <cell r="A318">
            <v>1445.4397710000001</v>
          </cell>
          <cell r="B318">
            <v>10.659700000000001</v>
          </cell>
          <cell r="C318">
            <v>10.659599999999999</v>
          </cell>
        </row>
        <row r="319">
          <cell r="A319">
            <v>1479.1083880000001</v>
          </cell>
          <cell r="B319">
            <v>10.6592</v>
          </cell>
          <cell r="C319">
            <v>10.659000000000001</v>
          </cell>
        </row>
        <row r="320">
          <cell r="A320">
            <v>1513.561248</v>
          </cell>
          <cell r="B320">
            <v>10.6586</v>
          </cell>
          <cell r="C320">
            <v>10.6584</v>
          </cell>
        </row>
        <row r="321">
          <cell r="A321">
            <v>1548.8166189999999</v>
          </cell>
          <cell r="B321">
            <v>10.657999999999999</v>
          </cell>
          <cell r="C321">
            <v>10.6578</v>
          </cell>
        </row>
        <row r="322">
          <cell r="A322">
            <v>1584.893192</v>
          </cell>
          <cell r="B322">
            <v>10.657400000000001</v>
          </cell>
          <cell r="C322">
            <v>10.6572</v>
          </cell>
        </row>
        <row r="323">
          <cell r="A323">
            <v>1621.810097</v>
          </cell>
          <cell r="B323">
            <v>10.656700000000001</v>
          </cell>
          <cell r="C323">
            <v>10.656599999999999</v>
          </cell>
        </row>
        <row r="324">
          <cell r="A324">
            <v>1659.5869070000001</v>
          </cell>
          <cell r="B324">
            <v>10.656000000000001</v>
          </cell>
          <cell r="C324">
            <v>10.655900000000001</v>
          </cell>
        </row>
        <row r="325">
          <cell r="A325">
            <v>1698.2436520000001</v>
          </cell>
          <cell r="B325">
            <v>10.6553</v>
          </cell>
          <cell r="C325">
            <v>10.655200000000001</v>
          </cell>
        </row>
        <row r="326">
          <cell r="A326">
            <v>1737.800829</v>
          </cell>
          <cell r="B326">
            <v>10.654500000000001</v>
          </cell>
          <cell r="C326">
            <v>10.654400000000001</v>
          </cell>
        </row>
        <row r="327">
          <cell r="A327">
            <v>1778.2794100000001</v>
          </cell>
          <cell r="B327">
            <v>10.653700000000001</v>
          </cell>
          <cell r="C327">
            <v>10.653600000000001</v>
          </cell>
        </row>
        <row r="328">
          <cell r="A328">
            <v>1819.700859</v>
          </cell>
          <cell r="B328">
            <v>10.652900000000001</v>
          </cell>
          <cell r="C328">
            <v>10.652799999999999</v>
          </cell>
        </row>
        <row r="329">
          <cell r="A329">
            <v>1862.087137</v>
          </cell>
          <cell r="B329">
            <v>10.651999999999999</v>
          </cell>
          <cell r="C329">
            <v>10.651899999999999</v>
          </cell>
        </row>
        <row r="330">
          <cell r="A330">
            <v>1905.460718</v>
          </cell>
          <cell r="B330">
            <v>10.6511</v>
          </cell>
          <cell r="C330">
            <v>10.651</v>
          </cell>
        </row>
        <row r="331">
          <cell r="A331">
            <v>1949.8445999999999</v>
          </cell>
          <cell r="B331">
            <v>10.6501</v>
          </cell>
          <cell r="C331">
            <v>10.65</v>
          </cell>
        </row>
        <row r="332">
          <cell r="A332">
            <v>1995.2623149999999</v>
          </cell>
          <cell r="B332">
            <v>10.649100000000001</v>
          </cell>
          <cell r="C332">
            <v>10.648999999999999</v>
          </cell>
        </row>
        <row r="333">
          <cell r="A333">
            <v>2041.7379450000001</v>
          </cell>
          <cell r="B333">
            <v>10.648099999999999</v>
          </cell>
          <cell r="C333">
            <v>10.648</v>
          </cell>
        </row>
        <row r="334">
          <cell r="A334">
            <v>2089.2961310000001</v>
          </cell>
          <cell r="B334">
            <v>10.647</v>
          </cell>
          <cell r="C334">
            <v>10.6469</v>
          </cell>
        </row>
        <row r="335">
          <cell r="A335">
            <v>2137.96209</v>
          </cell>
          <cell r="B335">
            <v>10.645799999999999</v>
          </cell>
          <cell r="C335">
            <v>10.645799999999999</v>
          </cell>
        </row>
        <row r="336">
          <cell r="A336">
            <v>2187.7616240000002</v>
          </cell>
          <cell r="B336">
            <v>10.644600000000001</v>
          </cell>
          <cell r="C336">
            <v>10.644600000000001</v>
          </cell>
        </row>
        <row r="337">
          <cell r="A337">
            <v>2238.7211390000002</v>
          </cell>
          <cell r="B337">
            <v>10.6434</v>
          </cell>
          <cell r="C337">
            <v>10.6433</v>
          </cell>
        </row>
        <row r="338">
          <cell r="A338">
            <v>2290.8676529999998</v>
          </cell>
          <cell r="B338">
            <v>10.641999999999999</v>
          </cell>
          <cell r="C338">
            <v>10.641999999999999</v>
          </cell>
        </row>
        <row r="339">
          <cell r="A339">
            <v>2344.2288149999999</v>
          </cell>
          <cell r="B339">
            <v>10.640700000000001</v>
          </cell>
          <cell r="C339">
            <v>10.640599999999999</v>
          </cell>
        </row>
        <row r="340">
          <cell r="A340">
            <v>2398.8329189999999</v>
          </cell>
          <cell r="B340">
            <v>10.639200000000001</v>
          </cell>
          <cell r="C340">
            <v>10.639200000000001</v>
          </cell>
        </row>
        <row r="341">
          <cell r="A341">
            <v>2454.708916</v>
          </cell>
          <cell r="B341">
            <v>10.637700000000001</v>
          </cell>
          <cell r="C341">
            <v>10.637600000000001</v>
          </cell>
        </row>
        <row r="342">
          <cell r="A342">
            <v>2511.8864319999998</v>
          </cell>
          <cell r="B342">
            <v>10.636100000000001</v>
          </cell>
          <cell r="C342">
            <v>10.636100000000001</v>
          </cell>
        </row>
        <row r="343">
          <cell r="A343">
            <v>2570.3957829999999</v>
          </cell>
          <cell r="B343">
            <v>10.634399999999999</v>
          </cell>
          <cell r="C343">
            <v>10.634399999999999</v>
          </cell>
        </row>
        <row r="344">
          <cell r="A344">
            <v>2630.267992</v>
          </cell>
          <cell r="B344">
            <v>10.6327</v>
          </cell>
          <cell r="C344">
            <v>10.6327</v>
          </cell>
        </row>
        <row r="345">
          <cell r="A345">
            <v>2691.5348039999999</v>
          </cell>
          <cell r="B345">
            <v>10.6309</v>
          </cell>
          <cell r="C345">
            <v>10.630800000000001</v>
          </cell>
        </row>
        <row r="346">
          <cell r="A346">
            <v>2754.2287030000002</v>
          </cell>
          <cell r="B346">
            <v>10.629</v>
          </cell>
          <cell r="C346">
            <v>10.6289</v>
          </cell>
        </row>
        <row r="347">
          <cell r="A347">
            <v>2818.3829310000001</v>
          </cell>
          <cell r="B347">
            <v>10.627000000000001</v>
          </cell>
          <cell r="C347">
            <v>10.626899999999999</v>
          </cell>
        </row>
        <row r="348">
          <cell r="A348">
            <v>2884.0315030000002</v>
          </cell>
          <cell r="B348">
            <v>10.6249</v>
          </cell>
          <cell r="C348">
            <v>10.6249</v>
          </cell>
        </row>
        <row r="349">
          <cell r="A349">
            <v>2951.2092269999998</v>
          </cell>
          <cell r="B349">
            <v>10.6227</v>
          </cell>
          <cell r="C349">
            <v>10.6227</v>
          </cell>
        </row>
        <row r="350">
          <cell r="A350">
            <v>3019.95172</v>
          </cell>
          <cell r="B350">
            <v>10.6204</v>
          </cell>
          <cell r="C350">
            <v>10.6204</v>
          </cell>
        </row>
        <row r="351">
          <cell r="A351">
            <v>3090.2954329999998</v>
          </cell>
          <cell r="B351">
            <v>10.618</v>
          </cell>
          <cell r="C351">
            <v>10.618</v>
          </cell>
        </row>
        <row r="352">
          <cell r="A352">
            <v>3162.2776600000002</v>
          </cell>
          <cell r="B352">
            <v>10.615500000000001</v>
          </cell>
          <cell r="C352">
            <v>10.615500000000001</v>
          </cell>
        </row>
        <row r="353">
          <cell r="A353">
            <v>3235.936569</v>
          </cell>
          <cell r="B353">
            <v>10.6129</v>
          </cell>
          <cell r="C353">
            <v>10.6129</v>
          </cell>
        </row>
        <row r="354">
          <cell r="A354">
            <v>3311.3112150000002</v>
          </cell>
          <cell r="B354">
            <v>10.610200000000001</v>
          </cell>
          <cell r="C354">
            <v>10.610099999999999</v>
          </cell>
        </row>
        <row r="355">
          <cell r="A355">
            <v>3388.4415610000001</v>
          </cell>
          <cell r="B355">
            <v>10.6073</v>
          </cell>
          <cell r="C355">
            <v>10.6073</v>
          </cell>
        </row>
        <row r="356">
          <cell r="A356">
            <v>3467.3685049999999</v>
          </cell>
          <cell r="B356">
            <v>10.6043</v>
          </cell>
          <cell r="C356">
            <v>10.6043</v>
          </cell>
        </row>
        <row r="357">
          <cell r="A357">
            <v>3548.1338919999998</v>
          </cell>
          <cell r="B357">
            <v>10.601100000000001</v>
          </cell>
          <cell r="C357">
            <v>10.601100000000001</v>
          </cell>
        </row>
        <row r="358">
          <cell r="A358">
            <v>3630.7805480000002</v>
          </cell>
          <cell r="B358">
            <v>10.597899999999999</v>
          </cell>
          <cell r="C358">
            <v>10.597799999999999</v>
          </cell>
        </row>
        <row r="359">
          <cell r="A359">
            <v>3715.3522910000002</v>
          </cell>
          <cell r="B359">
            <v>10.5944</v>
          </cell>
          <cell r="C359">
            <v>10.5944</v>
          </cell>
        </row>
        <row r="360">
          <cell r="A360">
            <v>3801.893963</v>
          </cell>
          <cell r="B360">
            <v>10.5908</v>
          </cell>
          <cell r="C360">
            <v>10.5908</v>
          </cell>
        </row>
        <row r="361">
          <cell r="A361">
            <v>3890.45145</v>
          </cell>
          <cell r="B361">
            <v>10.587</v>
          </cell>
          <cell r="C361">
            <v>10.587</v>
          </cell>
        </row>
        <row r="362">
          <cell r="A362">
            <v>3981.0717060000002</v>
          </cell>
          <cell r="B362">
            <v>10.5831</v>
          </cell>
          <cell r="C362">
            <v>10.5831</v>
          </cell>
        </row>
        <row r="363">
          <cell r="A363">
            <v>4073.8027780000002</v>
          </cell>
          <cell r="B363">
            <v>10.579000000000001</v>
          </cell>
          <cell r="C363">
            <v>10.579000000000001</v>
          </cell>
        </row>
        <row r="364">
          <cell r="A364">
            <v>4168.693835</v>
          </cell>
          <cell r="B364">
            <v>10.5747</v>
          </cell>
          <cell r="C364">
            <v>10.5746</v>
          </cell>
        </row>
        <row r="365">
          <cell r="A365">
            <v>4265.7951880000001</v>
          </cell>
          <cell r="B365">
            <v>10.5701</v>
          </cell>
          <cell r="C365">
            <v>10.5701</v>
          </cell>
        </row>
        <row r="366">
          <cell r="A366">
            <v>4365.1583220000002</v>
          </cell>
          <cell r="B366">
            <v>10.5654</v>
          </cell>
          <cell r="C366">
            <v>10.5654</v>
          </cell>
        </row>
        <row r="367">
          <cell r="A367">
            <v>4466.8359220000002</v>
          </cell>
          <cell r="B367">
            <v>10.560499999999999</v>
          </cell>
          <cell r="C367">
            <v>10.560499999999999</v>
          </cell>
        </row>
        <row r="368">
          <cell r="A368">
            <v>4570.8818959999999</v>
          </cell>
          <cell r="B368">
            <v>10.555300000000001</v>
          </cell>
          <cell r="C368">
            <v>10.555300000000001</v>
          </cell>
        </row>
        <row r="369">
          <cell r="A369">
            <v>4677.3514130000003</v>
          </cell>
          <cell r="B369">
            <v>10.549899999999999</v>
          </cell>
          <cell r="C369">
            <v>10.549899999999999</v>
          </cell>
        </row>
        <row r="370">
          <cell r="A370">
            <v>4786.3009229999998</v>
          </cell>
          <cell r="B370">
            <v>10.5443</v>
          </cell>
          <cell r="C370">
            <v>10.5443</v>
          </cell>
        </row>
        <row r="371">
          <cell r="A371">
            <v>4897.7881939999997</v>
          </cell>
          <cell r="B371">
            <v>10.538399999999999</v>
          </cell>
          <cell r="C371">
            <v>10.5383</v>
          </cell>
        </row>
        <row r="372">
          <cell r="A372">
            <v>5011.8723360000004</v>
          </cell>
          <cell r="B372">
            <v>10.5322</v>
          </cell>
          <cell r="C372">
            <v>10.5322</v>
          </cell>
        </row>
        <row r="373">
          <cell r="A373">
            <v>5128.61384</v>
          </cell>
          <cell r="B373">
            <v>10.525700000000001</v>
          </cell>
          <cell r="C373">
            <v>10.525700000000001</v>
          </cell>
        </row>
        <row r="374">
          <cell r="A374">
            <v>5248.0746019999997</v>
          </cell>
          <cell r="B374">
            <v>10.519</v>
          </cell>
          <cell r="C374">
            <v>10.519</v>
          </cell>
        </row>
        <row r="375">
          <cell r="A375">
            <v>5370.3179639999998</v>
          </cell>
          <cell r="B375">
            <v>10.511900000000001</v>
          </cell>
          <cell r="C375">
            <v>10.511900000000001</v>
          </cell>
        </row>
        <row r="376">
          <cell r="A376">
            <v>5495.4087390000004</v>
          </cell>
          <cell r="B376">
            <v>10.5045</v>
          </cell>
          <cell r="C376">
            <v>10.5045</v>
          </cell>
        </row>
        <row r="377">
          <cell r="A377">
            <v>5623.4132520000003</v>
          </cell>
          <cell r="B377">
            <v>10.4968</v>
          </cell>
          <cell r="C377">
            <v>10.4968</v>
          </cell>
        </row>
        <row r="378">
          <cell r="A378">
            <v>5754.3993730000002</v>
          </cell>
          <cell r="B378">
            <v>10.4887</v>
          </cell>
          <cell r="C378">
            <v>10.4887</v>
          </cell>
        </row>
        <row r="379">
          <cell r="A379">
            <v>5888.4365539999999</v>
          </cell>
          <cell r="B379">
            <v>10.4803</v>
          </cell>
          <cell r="C379">
            <v>10.4803</v>
          </cell>
        </row>
        <row r="380">
          <cell r="A380">
            <v>6025.5958609999998</v>
          </cell>
          <cell r="B380">
            <v>10.471500000000001</v>
          </cell>
          <cell r="C380">
            <v>10.471500000000001</v>
          </cell>
        </row>
        <row r="381">
          <cell r="A381">
            <v>6165.9500189999999</v>
          </cell>
          <cell r="B381">
            <v>10.462300000000001</v>
          </cell>
          <cell r="C381">
            <v>10.462300000000001</v>
          </cell>
        </row>
        <row r="382">
          <cell r="A382">
            <v>6309.573445</v>
          </cell>
          <cell r="B382">
            <v>10.4527</v>
          </cell>
          <cell r="C382">
            <v>10.4527</v>
          </cell>
        </row>
        <row r="383">
          <cell r="A383">
            <v>6456.5422900000003</v>
          </cell>
          <cell r="B383">
            <v>10.442600000000001</v>
          </cell>
          <cell r="C383">
            <v>10.442600000000001</v>
          </cell>
        </row>
        <row r="384">
          <cell r="A384">
            <v>6606.9344799999999</v>
          </cell>
          <cell r="B384">
            <v>10.4321</v>
          </cell>
          <cell r="C384">
            <v>10.4321</v>
          </cell>
        </row>
        <row r="385">
          <cell r="A385">
            <v>6760.8297540000003</v>
          </cell>
          <cell r="B385">
            <v>10.421200000000001</v>
          </cell>
          <cell r="C385">
            <v>10.421200000000001</v>
          </cell>
        </row>
        <row r="386">
          <cell r="A386">
            <v>6918.3097090000001</v>
          </cell>
          <cell r="B386">
            <v>10.409700000000001</v>
          </cell>
          <cell r="C386">
            <v>10.409700000000001</v>
          </cell>
        </row>
        <row r="387">
          <cell r="A387">
            <v>7079.4578439999996</v>
          </cell>
          <cell r="B387">
            <v>10.3978</v>
          </cell>
          <cell r="C387">
            <v>10.3978</v>
          </cell>
        </row>
        <row r="388">
          <cell r="A388">
            <v>7244.3596010000001</v>
          </cell>
          <cell r="B388">
            <v>10.385300000000001</v>
          </cell>
          <cell r="C388">
            <v>10.385300000000001</v>
          </cell>
        </row>
        <row r="389">
          <cell r="A389">
            <v>7413.1024129999996</v>
          </cell>
          <cell r="B389">
            <v>10.372199999999999</v>
          </cell>
          <cell r="C389">
            <v>10.372199999999999</v>
          </cell>
        </row>
        <row r="390">
          <cell r="A390">
            <v>7585.7757499999998</v>
          </cell>
          <cell r="B390">
            <v>10.358599999999999</v>
          </cell>
          <cell r="C390">
            <v>10.358599999999999</v>
          </cell>
        </row>
        <row r="391">
          <cell r="A391">
            <v>7762.4711660000003</v>
          </cell>
          <cell r="B391">
            <v>10.3444</v>
          </cell>
          <cell r="C391">
            <v>10.3444</v>
          </cell>
        </row>
        <row r="392">
          <cell r="A392">
            <v>7943.2823470000003</v>
          </cell>
          <cell r="B392">
            <v>10.329599999999999</v>
          </cell>
          <cell r="C392">
            <v>10.329599999999999</v>
          </cell>
        </row>
        <row r="393">
          <cell r="A393">
            <v>8128.3051619999997</v>
          </cell>
          <cell r="B393">
            <v>10.3141</v>
          </cell>
          <cell r="C393">
            <v>10.3141</v>
          </cell>
        </row>
        <row r="394">
          <cell r="A394">
            <v>8317.6377109999994</v>
          </cell>
          <cell r="B394">
            <v>10.298</v>
          </cell>
          <cell r="C394">
            <v>10.298</v>
          </cell>
        </row>
        <row r="395">
          <cell r="A395">
            <v>8511.3803819999994</v>
          </cell>
          <cell r="B395">
            <v>10.2812</v>
          </cell>
          <cell r="C395">
            <v>10.2812</v>
          </cell>
        </row>
        <row r="396">
          <cell r="A396">
            <v>8709.6358999999993</v>
          </cell>
          <cell r="B396">
            <v>10.2636</v>
          </cell>
          <cell r="C396">
            <v>10.2636</v>
          </cell>
        </row>
        <row r="397">
          <cell r="A397">
            <v>8912.5093809999998</v>
          </cell>
          <cell r="B397">
            <v>10.2453</v>
          </cell>
          <cell r="C397">
            <v>10.2453</v>
          </cell>
        </row>
        <row r="398">
          <cell r="A398">
            <v>9120.1083940000008</v>
          </cell>
          <cell r="B398">
            <v>10.2262</v>
          </cell>
          <cell r="C398">
            <v>10.2262</v>
          </cell>
        </row>
        <row r="399">
          <cell r="A399">
            <v>9332.5430080000006</v>
          </cell>
          <cell r="B399">
            <v>10.206300000000001</v>
          </cell>
          <cell r="C399">
            <v>10.206300000000001</v>
          </cell>
        </row>
        <row r="400">
          <cell r="A400">
            <v>9549.9258599999994</v>
          </cell>
          <cell r="B400">
            <v>10.185499999999999</v>
          </cell>
          <cell r="C400">
            <v>10.185499999999999</v>
          </cell>
        </row>
        <row r="401">
          <cell r="A401">
            <v>9772.3722099999995</v>
          </cell>
          <cell r="B401">
            <v>10.1639</v>
          </cell>
          <cell r="C401">
            <v>10.1639</v>
          </cell>
        </row>
        <row r="402">
          <cell r="A402">
            <v>10000</v>
          </cell>
          <cell r="B402">
            <v>10.141400000000001</v>
          </cell>
          <cell r="C402">
            <v>10.141400000000001</v>
          </cell>
        </row>
        <row r="403">
          <cell r="A403">
            <v>10232.92992</v>
          </cell>
          <cell r="B403">
            <v>10.117900000000001</v>
          </cell>
          <cell r="C403">
            <v>10.117900000000001</v>
          </cell>
        </row>
        <row r="404">
          <cell r="A404">
            <v>10471.28548</v>
          </cell>
          <cell r="B404">
            <v>10.093500000000001</v>
          </cell>
          <cell r="C404">
            <v>10.093500000000001</v>
          </cell>
        </row>
        <row r="405">
          <cell r="A405">
            <v>10715.19305</v>
          </cell>
          <cell r="B405">
            <v>10.068099999999999</v>
          </cell>
          <cell r="C405">
            <v>10.068099999999999</v>
          </cell>
        </row>
        <row r="406">
          <cell r="A406">
            <v>10964.78196</v>
          </cell>
          <cell r="B406">
            <v>10.041600000000001</v>
          </cell>
          <cell r="C406">
            <v>10.041600000000001</v>
          </cell>
        </row>
        <row r="407">
          <cell r="A407">
            <v>11220.18454</v>
          </cell>
          <cell r="B407">
            <v>10.014099999999999</v>
          </cell>
          <cell r="C407">
            <v>10.014099999999999</v>
          </cell>
        </row>
        <row r="408">
          <cell r="A408">
            <v>11481.53621</v>
          </cell>
          <cell r="B408">
            <v>9.9854000000000003</v>
          </cell>
          <cell r="C408">
            <v>9.9853900000000007</v>
          </cell>
        </row>
        <row r="409">
          <cell r="A409">
            <v>11748.975549999999</v>
          </cell>
          <cell r="B409">
            <v>9.9555799999999994</v>
          </cell>
          <cell r="C409">
            <v>9.9555799999999994</v>
          </cell>
        </row>
        <row r="410">
          <cell r="A410">
            <v>12022.64435</v>
          </cell>
          <cell r="B410">
            <v>9.9245800000000006</v>
          </cell>
          <cell r="C410">
            <v>9.9245800000000006</v>
          </cell>
        </row>
        <row r="411">
          <cell r="A411">
            <v>12302.68771</v>
          </cell>
          <cell r="B411">
            <v>9.89236</v>
          </cell>
          <cell r="C411">
            <v>9.89236</v>
          </cell>
        </row>
        <row r="412">
          <cell r="A412">
            <v>12589.25412</v>
          </cell>
          <cell r="B412">
            <v>9.8588699999999996</v>
          </cell>
          <cell r="C412">
            <v>9.8588699999999996</v>
          </cell>
        </row>
        <row r="413">
          <cell r="A413">
            <v>12882.49552</v>
          </cell>
          <cell r="B413">
            <v>9.8240800000000004</v>
          </cell>
          <cell r="C413">
            <v>9.8240800000000004</v>
          </cell>
        </row>
        <row r="414">
          <cell r="A414">
            <v>13182.56739</v>
          </cell>
          <cell r="B414">
            <v>9.7879400000000008</v>
          </cell>
          <cell r="C414">
            <v>9.7879400000000008</v>
          </cell>
        </row>
        <row r="415">
          <cell r="A415">
            <v>13489.62883</v>
          </cell>
          <cell r="B415">
            <v>9.7504200000000001</v>
          </cell>
          <cell r="C415">
            <v>9.7504200000000001</v>
          </cell>
        </row>
        <row r="416">
          <cell r="A416">
            <v>13803.842650000001</v>
          </cell>
          <cell r="B416">
            <v>9.7114799999999999</v>
          </cell>
          <cell r="C416">
            <v>9.7114700000000003</v>
          </cell>
        </row>
        <row r="417">
          <cell r="A417">
            <v>14125.37545</v>
          </cell>
          <cell r="B417">
            <v>9.6710700000000003</v>
          </cell>
          <cell r="C417">
            <v>9.6710600000000007</v>
          </cell>
        </row>
        <row r="418">
          <cell r="A418">
            <v>14454.397709999999</v>
          </cell>
          <cell r="B418">
            <v>9.6291499999999992</v>
          </cell>
          <cell r="C418">
            <v>9.6291499999999992</v>
          </cell>
        </row>
        <row r="419">
          <cell r="A419">
            <v>14791.08388</v>
          </cell>
          <cell r="B419">
            <v>9.5856899999999996</v>
          </cell>
          <cell r="C419">
            <v>9.5856899999999996</v>
          </cell>
        </row>
        <row r="420">
          <cell r="A420">
            <v>15135.61248</v>
          </cell>
          <cell r="B420">
            <v>9.5406399999999998</v>
          </cell>
          <cell r="C420">
            <v>9.5406399999999998</v>
          </cell>
        </row>
        <row r="421">
          <cell r="A421">
            <v>15488.16619</v>
          </cell>
          <cell r="B421">
            <v>9.4939699999999991</v>
          </cell>
          <cell r="C421">
            <v>9.4939599999999995</v>
          </cell>
        </row>
        <row r="422">
          <cell r="A422">
            <v>15848.931920000001</v>
          </cell>
          <cell r="B422">
            <v>9.4456199999999999</v>
          </cell>
          <cell r="C422">
            <v>9.4456199999999999</v>
          </cell>
        </row>
        <row r="423">
          <cell r="A423">
            <v>16218.10097</v>
          </cell>
          <cell r="B423">
            <v>9.3955699999999993</v>
          </cell>
          <cell r="C423">
            <v>9.3955699999999993</v>
          </cell>
        </row>
        <row r="424">
          <cell r="A424">
            <v>16595.869070000001</v>
          </cell>
          <cell r="B424">
            <v>9.3437699999999992</v>
          </cell>
          <cell r="C424">
            <v>9.3437699999999992</v>
          </cell>
        </row>
        <row r="425">
          <cell r="A425">
            <v>16982.436519999999</v>
          </cell>
          <cell r="B425">
            <v>9.2901799999999994</v>
          </cell>
          <cell r="C425">
            <v>9.2901799999999994</v>
          </cell>
        </row>
        <row r="426">
          <cell r="A426">
            <v>17378.008290000002</v>
          </cell>
          <cell r="B426">
            <v>9.2347599999999996</v>
          </cell>
          <cell r="C426">
            <v>9.2347599999999996</v>
          </cell>
        </row>
        <row r="427">
          <cell r="A427">
            <v>17782.794099999999</v>
          </cell>
          <cell r="B427">
            <v>9.1774799999999992</v>
          </cell>
          <cell r="C427">
            <v>9.1774799999999992</v>
          </cell>
        </row>
        <row r="428">
          <cell r="A428">
            <v>18197.008590000001</v>
          </cell>
          <cell r="B428">
            <v>9.1182999999999996</v>
          </cell>
          <cell r="C428">
            <v>9.1182999999999996</v>
          </cell>
        </row>
        <row r="429">
          <cell r="A429">
            <v>18620.871370000001</v>
          </cell>
          <cell r="B429">
            <v>9.0571900000000003</v>
          </cell>
          <cell r="C429">
            <v>9.0571800000000007</v>
          </cell>
        </row>
        <row r="430">
          <cell r="A430">
            <v>19054.607179999999</v>
          </cell>
          <cell r="B430">
            <v>8.9940999999999995</v>
          </cell>
          <cell r="C430">
            <v>8.9940899999999999</v>
          </cell>
        </row>
        <row r="431">
          <cell r="A431">
            <v>19498.446</v>
          </cell>
          <cell r="B431">
            <v>8.9290000000000003</v>
          </cell>
          <cell r="C431">
            <v>8.9290000000000003</v>
          </cell>
        </row>
        <row r="432">
          <cell r="A432">
            <v>19952.623149999999</v>
          </cell>
          <cell r="B432">
            <v>8.8618600000000001</v>
          </cell>
          <cell r="C432">
            <v>8.8618600000000001</v>
          </cell>
        </row>
        <row r="433">
          <cell r="A433">
            <v>20417.37945</v>
          </cell>
          <cell r="B433">
            <v>8.7926599999999997</v>
          </cell>
          <cell r="C433">
            <v>8.7926599999999997</v>
          </cell>
        </row>
        <row r="434">
          <cell r="A434">
            <v>20892.961309999999</v>
          </cell>
          <cell r="B434">
            <v>8.7213499999999993</v>
          </cell>
          <cell r="C434">
            <v>8.7213499999999993</v>
          </cell>
        </row>
        <row r="435">
          <cell r="A435">
            <v>21379.620900000002</v>
          </cell>
          <cell r="B435">
            <v>8.6479199999999992</v>
          </cell>
          <cell r="C435">
            <v>8.6479199999999992</v>
          </cell>
        </row>
        <row r="436">
          <cell r="A436">
            <v>21877.616239999999</v>
          </cell>
          <cell r="B436">
            <v>8.5723400000000005</v>
          </cell>
          <cell r="C436">
            <v>8.5723400000000005</v>
          </cell>
        </row>
        <row r="437">
          <cell r="A437">
            <v>22387.21139</v>
          </cell>
          <cell r="B437">
            <v>8.4945699999999995</v>
          </cell>
          <cell r="C437">
            <v>8.4945699999999995</v>
          </cell>
        </row>
        <row r="438">
          <cell r="A438">
            <v>22908.676530000001</v>
          </cell>
          <cell r="B438">
            <v>8.4146099999999997</v>
          </cell>
          <cell r="C438">
            <v>8.4146099999999997</v>
          </cell>
        </row>
        <row r="439">
          <cell r="A439">
            <v>23442.28815</v>
          </cell>
          <cell r="B439">
            <v>8.3324200000000008</v>
          </cell>
          <cell r="C439">
            <v>8.3324200000000008</v>
          </cell>
        </row>
        <row r="440">
          <cell r="A440">
            <v>23988.32919</v>
          </cell>
          <cell r="B440">
            <v>8.2479999999999993</v>
          </cell>
          <cell r="C440">
            <v>8.2479999999999993</v>
          </cell>
        </row>
        <row r="441">
          <cell r="A441">
            <v>24547.08916</v>
          </cell>
          <cell r="B441">
            <v>8.1613199999999999</v>
          </cell>
          <cell r="C441">
            <v>8.1613100000000003</v>
          </cell>
        </row>
        <row r="442">
          <cell r="A442">
            <v>25118.864320000001</v>
          </cell>
          <cell r="B442">
            <v>8.0723599999999998</v>
          </cell>
          <cell r="C442">
            <v>8.0723599999999998</v>
          </cell>
        </row>
        <row r="443">
          <cell r="A443">
            <v>25703.957829999999</v>
          </cell>
          <cell r="B443">
            <v>7.9811300000000003</v>
          </cell>
          <cell r="C443">
            <v>7.9811300000000003</v>
          </cell>
        </row>
        <row r="444">
          <cell r="A444">
            <v>26302.679919999999</v>
          </cell>
          <cell r="B444">
            <v>7.8876099999999996</v>
          </cell>
          <cell r="C444">
            <v>7.8876099999999996</v>
          </cell>
        </row>
        <row r="445">
          <cell r="A445">
            <v>26915.348040000001</v>
          </cell>
          <cell r="B445">
            <v>7.7917899999999998</v>
          </cell>
          <cell r="C445">
            <v>7.7917899999999998</v>
          </cell>
        </row>
        <row r="446">
          <cell r="A446">
            <v>27542.28703</v>
          </cell>
          <cell r="B446">
            <v>7.6936600000000004</v>
          </cell>
          <cell r="C446">
            <v>7.6936600000000004</v>
          </cell>
        </row>
        <row r="447">
          <cell r="A447">
            <v>28183.829310000001</v>
          </cell>
          <cell r="B447">
            <v>7.5932399999999998</v>
          </cell>
          <cell r="C447">
            <v>7.5932399999999998</v>
          </cell>
        </row>
        <row r="448">
          <cell r="A448">
            <v>28840.315030000002</v>
          </cell>
          <cell r="B448">
            <v>7.4904999999999999</v>
          </cell>
          <cell r="C448">
            <v>7.4904999999999999</v>
          </cell>
        </row>
        <row r="449">
          <cell r="A449">
            <v>29512.092270000001</v>
          </cell>
          <cell r="B449">
            <v>7.3854699999999998</v>
          </cell>
          <cell r="C449">
            <v>7.3854699999999998</v>
          </cell>
        </row>
        <row r="450">
          <cell r="A450">
            <v>30199.517199999998</v>
          </cell>
          <cell r="B450">
            <v>7.2781399999999996</v>
          </cell>
          <cell r="C450">
            <v>7.2781399999999996</v>
          </cell>
        </row>
        <row r="451">
          <cell r="A451">
            <v>30902.95433</v>
          </cell>
          <cell r="B451">
            <v>7.16852</v>
          </cell>
          <cell r="C451">
            <v>7.16852</v>
          </cell>
        </row>
        <row r="452">
          <cell r="A452">
            <v>31622.776600000001</v>
          </cell>
          <cell r="B452">
            <v>7.0566300000000002</v>
          </cell>
          <cell r="C452">
            <v>7.0566199999999997</v>
          </cell>
        </row>
        <row r="453">
          <cell r="A453">
            <v>32359.365689999999</v>
          </cell>
          <cell r="B453">
            <v>6.9424599999999996</v>
          </cell>
          <cell r="C453">
            <v>6.9424599999999996</v>
          </cell>
        </row>
        <row r="454">
          <cell r="A454">
            <v>33113.112150000001</v>
          </cell>
          <cell r="B454">
            <v>6.8260500000000004</v>
          </cell>
          <cell r="C454">
            <v>6.8260399999999999</v>
          </cell>
        </row>
        <row r="455">
          <cell r="A455">
            <v>33884.415609999996</v>
          </cell>
          <cell r="B455">
            <v>6.7073900000000002</v>
          </cell>
          <cell r="C455">
            <v>6.7073900000000002</v>
          </cell>
        </row>
        <row r="456">
          <cell r="A456">
            <v>34673.68505</v>
          </cell>
          <cell r="B456">
            <v>6.5865299999999998</v>
          </cell>
          <cell r="C456">
            <v>6.5865200000000002</v>
          </cell>
        </row>
        <row r="457">
          <cell r="A457">
            <v>35481.338920000002</v>
          </cell>
          <cell r="B457">
            <v>6.4634600000000004</v>
          </cell>
          <cell r="C457">
            <v>6.4634600000000004</v>
          </cell>
        </row>
        <row r="458">
          <cell r="A458">
            <v>36307.805480000003</v>
          </cell>
          <cell r="B458">
            <v>6.3382199999999997</v>
          </cell>
          <cell r="C458">
            <v>6.3382199999999997</v>
          </cell>
        </row>
        <row r="459">
          <cell r="A459">
            <v>37153.52291</v>
          </cell>
          <cell r="B459">
            <v>6.2108400000000001</v>
          </cell>
          <cell r="C459">
            <v>6.2108400000000001</v>
          </cell>
        </row>
        <row r="460">
          <cell r="A460">
            <v>38018.939630000001</v>
          </cell>
          <cell r="B460">
            <v>6.0813300000000003</v>
          </cell>
          <cell r="C460">
            <v>6.0813300000000003</v>
          </cell>
        </row>
        <row r="461">
          <cell r="A461">
            <v>38904.514499999997</v>
          </cell>
          <cell r="B461">
            <v>5.9497400000000003</v>
          </cell>
          <cell r="C461">
            <v>5.9497400000000003</v>
          </cell>
        </row>
        <row r="462">
          <cell r="A462">
            <v>39810.717060000003</v>
          </cell>
          <cell r="B462">
            <v>5.8160699999999999</v>
          </cell>
          <cell r="C462">
            <v>5.8160699999999999</v>
          </cell>
        </row>
        <row r="463">
          <cell r="A463">
            <v>40738.027779999997</v>
          </cell>
          <cell r="B463">
            <v>5.6803800000000004</v>
          </cell>
          <cell r="C463">
            <v>5.6803800000000004</v>
          </cell>
        </row>
        <row r="464">
          <cell r="A464">
            <v>41686.938349999997</v>
          </cell>
          <cell r="B464">
            <v>5.5426900000000003</v>
          </cell>
          <cell r="C464">
            <v>5.5426900000000003</v>
          </cell>
        </row>
        <row r="465">
          <cell r="A465">
            <v>42657.951880000001</v>
          </cell>
          <cell r="B465">
            <v>5.4030300000000002</v>
          </cell>
          <cell r="C465">
            <v>5.4030300000000002</v>
          </cell>
        </row>
        <row r="466">
          <cell r="A466">
            <v>43651.58322</v>
          </cell>
          <cell r="B466">
            <v>5.2614400000000003</v>
          </cell>
          <cell r="C466">
            <v>5.2614400000000003</v>
          </cell>
        </row>
        <row r="467">
          <cell r="A467">
            <v>44668.359219999998</v>
          </cell>
          <cell r="B467">
            <v>5.1179600000000001</v>
          </cell>
          <cell r="C467">
            <v>5.1179600000000001</v>
          </cell>
        </row>
        <row r="468">
          <cell r="A468">
            <v>45708.818959999997</v>
          </cell>
          <cell r="B468">
            <v>4.97262</v>
          </cell>
          <cell r="C468">
            <v>4.97262</v>
          </cell>
        </row>
        <row r="469">
          <cell r="A469">
            <v>46773.514130000003</v>
          </cell>
          <cell r="B469">
            <v>4.8254599999999996</v>
          </cell>
          <cell r="C469">
            <v>4.8254599999999996</v>
          </cell>
        </row>
        <row r="470">
          <cell r="A470">
            <v>47863.009230000003</v>
          </cell>
          <cell r="B470">
            <v>4.6765299999999996</v>
          </cell>
          <cell r="C470">
            <v>4.6765299999999996</v>
          </cell>
        </row>
        <row r="471">
          <cell r="A471">
            <v>48977.881939999999</v>
          </cell>
          <cell r="B471">
            <v>4.5258500000000002</v>
          </cell>
          <cell r="C471">
            <v>4.5258500000000002</v>
          </cell>
        </row>
        <row r="472">
          <cell r="A472">
            <v>50118.723360000004</v>
          </cell>
          <cell r="B472">
            <v>4.3734700000000002</v>
          </cell>
          <cell r="C472">
            <v>4.3734700000000002</v>
          </cell>
        </row>
        <row r="473">
          <cell r="A473">
            <v>51286.138400000003</v>
          </cell>
          <cell r="B473">
            <v>4.2194200000000004</v>
          </cell>
          <cell r="C473">
            <v>4.2194200000000004</v>
          </cell>
        </row>
        <row r="474">
          <cell r="A474">
            <v>52480.746019999999</v>
          </cell>
          <cell r="B474">
            <v>4.0637600000000003</v>
          </cell>
          <cell r="C474">
            <v>4.0637600000000003</v>
          </cell>
        </row>
        <row r="475">
          <cell r="A475">
            <v>53703.179640000002</v>
          </cell>
          <cell r="B475">
            <v>3.9065099999999999</v>
          </cell>
          <cell r="C475">
            <v>3.9065099999999999</v>
          </cell>
        </row>
        <row r="476">
          <cell r="A476">
            <v>54954.087390000001</v>
          </cell>
          <cell r="B476">
            <v>3.7477299999999998</v>
          </cell>
          <cell r="C476">
            <v>3.7477299999999998</v>
          </cell>
        </row>
        <row r="477">
          <cell r="A477">
            <v>56234.132519999999</v>
          </cell>
          <cell r="B477">
            <v>3.58744</v>
          </cell>
          <cell r="C477">
            <v>3.58744</v>
          </cell>
        </row>
        <row r="478">
          <cell r="A478">
            <v>57543.993730000002</v>
          </cell>
          <cell r="B478">
            <v>3.4256899999999999</v>
          </cell>
          <cell r="C478">
            <v>3.4256899999999999</v>
          </cell>
        </row>
        <row r="479">
          <cell r="A479">
            <v>58884.365539999999</v>
          </cell>
          <cell r="B479">
            <v>3.2625299999999999</v>
          </cell>
          <cell r="C479">
            <v>3.2625299999999999</v>
          </cell>
        </row>
        <row r="480">
          <cell r="A480">
            <v>60255.958610000001</v>
          </cell>
          <cell r="B480">
            <v>3.0979800000000002</v>
          </cell>
          <cell r="C480">
            <v>3.0979800000000002</v>
          </cell>
        </row>
        <row r="481">
          <cell r="A481">
            <v>61659.500189999999</v>
          </cell>
          <cell r="B481">
            <v>2.9320900000000001</v>
          </cell>
          <cell r="C481">
            <v>2.9320900000000001</v>
          </cell>
        </row>
        <row r="482">
          <cell r="A482">
            <v>63095.734450000004</v>
          </cell>
          <cell r="B482">
            <v>2.7648999999999999</v>
          </cell>
          <cell r="C482">
            <v>2.7648999999999999</v>
          </cell>
        </row>
        <row r="483">
          <cell r="A483">
            <v>64565.422899999998</v>
          </cell>
          <cell r="B483">
            <v>2.5964499999999999</v>
          </cell>
          <cell r="C483">
            <v>2.5964499999999999</v>
          </cell>
        </row>
        <row r="484">
          <cell r="A484">
            <v>66069.344800000006</v>
          </cell>
          <cell r="B484">
            <v>2.4267699999999999</v>
          </cell>
          <cell r="C484">
            <v>2.4267699999999999</v>
          </cell>
        </row>
        <row r="485">
          <cell r="A485">
            <v>67608.29754</v>
          </cell>
          <cell r="B485">
            <v>2.2559100000000001</v>
          </cell>
          <cell r="C485">
            <v>2.2559100000000001</v>
          </cell>
        </row>
        <row r="486">
          <cell r="A486">
            <v>69183.097089999996</v>
          </cell>
          <cell r="B486">
            <v>2.0838899999999998</v>
          </cell>
          <cell r="C486">
            <v>2.0838899999999998</v>
          </cell>
        </row>
        <row r="487">
          <cell r="A487">
            <v>70794.578439999997</v>
          </cell>
          <cell r="B487">
            <v>1.91076</v>
          </cell>
          <cell r="C487">
            <v>1.91076</v>
          </cell>
        </row>
        <row r="488">
          <cell r="A488">
            <v>72443.596009999994</v>
          </cell>
          <cell r="B488">
            <v>1.73655</v>
          </cell>
          <cell r="C488">
            <v>1.73655</v>
          </cell>
        </row>
        <row r="489">
          <cell r="A489">
            <v>74131.024130000005</v>
          </cell>
          <cell r="B489">
            <v>1.5612999999999999</v>
          </cell>
          <cell r="C489">
            <v>1.5612999999999999</v>
          </cell>
        </row>
        <row r="490">
          <cell r="A490">
            <v>75857.757500000007</v>
          </cell>
          <cell r="B490">
            <v>1.38504</v>
          </cell>
          <cell r="C490">
            <v>1.38504</v>
          </cell>
        </row>
        <row r="491">
          <cell r="A491">
            <v>77624.711660000001</v>
          </cell>
          <cell r="B491">
            <v>1.2078</v>
          </cell>
          <cell r="C491">
            <v>1.2078</v>
          </cell>
        </row>
        <row r="492">
          <cell r="A492">
            <v>79432.823470000003</v>
          </cell>
          <cell r="B492">
            <v>1.02962</v>
          </cell>
          <cell r="C492">
            <v>1.02962</v>
          </cell>
        </row>
        <row r="493">
          <cell r="A493">
            <v>81283.051619999998</v>
          </cell>
          <cell r="B493">
            <v>0.85052899999999998</v>
          </cell>
          <cell r="C493">
            <v>0.85052899999999998</v>
          </cell>
        </row>
        <row r="494">
          <cell r="A494">
            <v>83176.377110000001</v>
          </cell>
          <cell r="B494">
            <v>0.67055600000000004</v>
          </cell>
          <cell r="C494">
            <v>0.67055500000000001</v>
          </cell>
        </row>
        <row r="495">
          <cell r="A495">
            <v>85113.803820000001</v>
          </cell>
          <cell r="B495">
            <v>0.48973100000000003</v>
          </cell>
          <cell r="C495">
            <v>0.48973100000000003</v>
          </cell>
        </row>
        <row r="496">
          <cell r="A496">
            <v>87096.358999999997</v>
          </cell>
          <cell r="B496">
            <v>0.308085</v>
          </cell>
          <cell r="C496">
            <v>0.308085</v>
          </cell>
        </row>
        <row r="497">
          <cell r="A497">
            <v>89125.093810000006</v>
          </cell>
          <cell r="B497">
            <v>0.12564500000000001</v>
          </cell>
          <cell r="C497">
            <v>0.12564500000000001</v>
          </cell>
        </row>
        <row r="498">
          <cell r="A498">
            <v>91201.083939999997</v>
          </cell>
          <cell r="B498">
            <v>-5.7559899999999997E-2</v>
          </cell>
          <cell r="C498">
            <v>-5.7559899999999997E-2</v>
          </cell>
        </row>
        <row r="499">
          <cell r="A499">
            <v>93325.430080000006</v>
          </cell>
          <cell r="B499">
            <v>-0.241504</v>
          </cell>
          <cell r="C499">
            <v>-0.241504</v>
          </cell>
        </row>
        <row r="500">
          <cell r="A500">
            <v>95499.258600000001</v>
          </cell>
          <cell r="B500">
            <v>-0.42616199999999999</v>
          </cell>
          <cell r="C500">
            <v>-0.42616199999999999</v>
          </cell>
        </row>
        <row r="501">
          <cell r="A501">
            <v>97723.722099999999</v>
          </cell>
          <cell r="B501">
            <v>-0.61150800000000005</v>
          </cell>
          <cell r="C501">
            <v>-0.61150800000000005</v>
          </cell>
        </row>
        <row r="502">
          <cell r="A502">
            <v>100000</v>
          </cell>
          <cell r="B502">
            <v>-0.79751899999999998</v>
          </cell>
          <cell r="C502">
            <v>-0.79751899999999998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C0D01E-2D00-4CF9-B986-8B2E1FA85D2E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7818-9EA5-46AE-AFC3-32A47DF13B31}">
  <dimension ref="A1:G54"/>
  <sheetViews>
    <sheetView workbookViewId="0">
      <selection sqref="A1:C1"/>
    </sheetView>
  </sheetViews>
  <sheetFormatPr defaultRowHeight="14.5" x14ac:dyDescent="0.35"/>
  <cols>
    <col min="1" max="1" width="52" style="1" bestFit="1" customWidth="1"/>
    <col min="2" max="2" width="20.26953125" style="1" bestFit="1" customWidth="1"/>
    <col min="3" max="3" width="4.81640625" style="1" bestFit="1" customWidth="1"/>
    <col min="4" max="7" width="8.7265625" style="1"/>
  </cols>
  <sheetData>
    <row r="1" spans="1:3" ht="21" x14ac:dyDescent="0.5">
      <c r="A1" s="35" t="s">
        <v>103</v>
      </c>
      <c r="B1" s="35"/>
      <c r="C1" s="35"/>
    </row>
    <row r="2" spans="1:3" x14ac:dyDescent="0.35">
      <c r="A2" s="36" t="s">
        <v>158</v>
      </c>
      <c r="B2" s="36"/>
      <c r="C2" s="36"/>
    </row>
    <row r="3" spans="1:3" x14ac:dyDescent="0.35">
      <c r="A3" s="36" t="s">
        <v>101</v>
      </c>
      <c r="B3" s="36"/>
      <c r="C3" s="36"/>
    </row>
    <row r="4" spans="1:3" x14ac:dyDescent="0.35">
      <c r="A4" s="36" t="s">
        <v>102</v>
      </c>
      <c r="B4" s="36"/>
      <c r="C4" s="36"/>
    </row>
    <row r="5" spans="1:3" x14ac:dyDescent="0.35">
      <c r="A5" s="36" t="s">
        <v>157</v>
      </c>
      <c r="B5" s="36"/>
      <c r="C5" s="36"/>
    </row>
    <row r="7" spans="1:3" ht="18.5" x14ac:dyDescent="0.45">
      <c r="A7" s="34" t="s">
        <v>104</v>
      </c>
      <c r="B7" s="34"/>
      <c r="C7" s="34"/>
    </row>
    <row r="9" spans="1:3" x14ac:dyDescent="0.35">
      <c r="A9" s="1" t="s">
        <v>105</v>
      </c>
      <c r="B9" s="1">
        <v>15</v>
      </c>
      <c r="C9" s="1" t="s">
        <v>106</v>
      </c>
    </row>
    <row r="10" spans="1:3" x14ac:dyDescent="0.35">
      <c r="A10" s="1" t="s">
        <v>107</v>
      </c>
      <c r="B10" s="1">
        <v>0.872</v>
      </c>
      <c r="C10" s="1" t="s">
        <v>43</v>
      </c>
    </row>
    <row r="11" spans="1:3" x14ac:dyDescent="0.35">
      <c r="A11" s="1" t="s">
        <v>108</v>
      </c>
      <c r="B11" s="1">
        <v>0.30830000000000002</v>
      </c>
      <c r="C11" s="1" t="s">
        <v>43</v>
      </c>
    </row>
    <row r="12" spans="1:3" x14ac:dyDescent="0.35">
      <c r="A12" s="1" t="s">
        <v>109</v>
      </c>
      <c r="B12" s="1">
        <v>1.224</v>
      </c>
      <c r="C12" s="1" t="s">
        <v>43</v>
      </c>
    </row>
    <row r="13" spans="1:3" x14ac:dyDescent="0.35">
      <c r="A13" s="1" t="s">
        <v>110</v>
      </c>
      <c r="B13" s="1">
        <v>0.85680000000000001</v>
      </c>
      <c r="C13" s="1" t="s">
        <v>43</v>
      </c>
    </row>
    <row r="14" spans="1:3" x14ac:dyDescent="0.35">
      <c r="A14" s="1" t="s">
        <v>111</v>
      </c>
      <c r="B14" s="1">
        <v>1.77</v>
      </c>
      <c r="C14" s="1" t="s">
        <v>112</v>
      </c>
    </row>
    <row r="16" spans="1:3" ht="18.5" x14ac:dyDescent="0.45">
      <c r="A16" s="30" t="s">
        <v>113</v>
      </c>
    </row>
    <row r="18" spans="1:3" x14ac:dyDescent="0.35">
      <c r="A18" s="1" t="s">
        <v>114</v>
      </c>
      <c r="B18" s="1">
        <v>3</v>
      </c>
      <c r="C18" s="1" t="s">
        <v>115</v>
      </c>
    </row>
    <row r="19" spans="1:3" x14ac:dyDescent="0.35">
      <c r="A19" s="1" t="s">
        <v>116</v>
      </c>
      <c r="B19" s="1">
        <v>3.44</v>
      </c>
      <c r="C19" s="1" t="s">
        <v>50</v>
      </c>
    </row>
    <row r="20" spans="1:3" x14ac:dyDescent="0.35">
      <c r="A20" s="1" t="s">
        <v>117</v>
      </c>
      <c r="B20" s="1">
        <v>10.731999999999999</v>
      </c>
      <c r="C20" s="1" t="s">
        <v>52</v>
      </c>
    </row>
    <row r="21" spans="1:3" x14ac:dyDescent="0.35">
      <c r="A21" s="1" t="s">
        <v>118</v>
      </c>
      <c r="B21" s="1" t="s">
        <v>119</v>
      </c>
      <c r="C21" s="1" t="s">
        <v>120</v>
      </c>
    </row>
    <row r="22" spans="1:3" x14ac:dyDescent="0.35">
      <c r="A22" s="1" t="s">
        <v>121</v>
      </c>
      <c r="B22" s="1" t="s">
        <v>122</v>
      </c>
      <c r="C22" s="1" t="s">
        <v>120</v>
      </c>
    </row>
    <row r="23" spans="1:3" x14ac:dyDescent="0.35">
      <c r="A23" s="1" t="s">
        <v>123</v>
      </c>
      <c r="B23" s="1" t="s">
        <v>124</v>
      </c>
      <c r="C23" s="1" t="s">
        <v>120</v>
      </c>
    </row>
    <row r="24" spans="1:3" x14ac:dyDescent="0.35">
      <c r="A24" s="1" t="s">
        <v>125</v>
      </c>
      <c r="B24" s="1">
        <v>3.4169999999999998</v>
      </c>
      <c r="C24" s="1" t="s">
        <v>50</v>
      </c>
    </row>
    <row r="25" spans="1:3" x14ac:dyDescent="0.35">
      <c r="A25" s="1" t="s">
        <v>126</v>
      </c>
      <c r="B25" s="1">
        <v>10.672000000000001</v>
      </c>
      <c r="C25" s="1" t="s">
        <v>52</v>
      </c>
    </row>
    <row r="27" spans="1:3" ht="18.5" x14ac:dyDescent="0.45">
      <c r="A27" s="34" t="s">
        <v>127</v>
      </c>
      <c r="B27" s="34"/>
      <c r="C27" s="34"/>
    </row>
    <row r="29" spans="1:3" x14ac:dyDescent="0.35">
      <c r="A29" s="1" t="s">
        <v>128</v>
      </c>
      <c r="B29" s="1">
        <v>5</v>
      </c>
      <c r="C29" s="1" t="s">
        <v>63</v>
      </c>
    </row>
    <row r="30" spans="1:3" x14ac:dyDescent="0.35">
      <c r="A30" s="1" t="s">
        <v>129</v>
      </c>
      <c r="B30" s="1" t="s">
        <v>130</v>
      </c>
      <c r="C30" s="1" t="s">
        <v>65</v>
      </c>
    </row>
    <row r="31" spans="1:3" x14ac:dyDescent="0.35">
      <c r="A31" s="1" t="s">
        <v>131</v>
      </c>
      <c r="B31" s="1" t="s">
        <v>132</v>
      </c>
      <c r="C31" s="1" t="s">
        <v>65</v>
      </c>
    </row>
    <row r="32" spans="1:3" x14ac:dyDescent="0.35">
      <c r="A32" s="1" t="s">
        <v>133</v>
      </c>
      <c r="B32" s="1">
        <v>6.63</v>
      </c>
      <c r="C32" s="1" t="s">
        <v>63</v>
      </c>
    </row>
    <row r="34" spans="1:3" x14ac:dyDescent="0.35">
      <c r="A34" s="1" t="s">
        <v>134</v>
      </c>
      <c r="B34" s="1">
        <v>29000</v>
      </c>
      <c r="C34" s="1" t="s">
        <v>63</v>
      </c>
    </row>
    <row r="35" spans="1:3" x14ac:dyDescent="0.35">
      <c r="A35" s="1" t="s">
        <v>135</v>
      </c>
      <c r="B35" s="1" t="s">
        <v>136</v>
      </c>
      <c r="C35" s="1" t="s">
        <v>65</v>
      </c>
    </row>
    <row r="36" spans="1:3" x14ac:dyDescent="0.35">
      <c r="A36" s="1" t="s">
        <v>137</v>
      </c>
      <c r="B36" s="1" t="s">
        <v>138</v>
      </c>
      <c r="C36" s="1" t="s">
        <v>65</v>
      </c>
    </row>
    <row r="37" spans="1:3" x14ac:dyDescent="0.35">
      <c r="A37" s="1" t="s">
        <v>139</v>
      </c>
      <c r="B37" s="1">
        <v>28540</v>
      </c>
      <c r="C37" s="1" t="s">
        <v>63</v>
      </c>
    </row>
    <row r="39" spans="1:3" ht="18.5" x14ac:dyDescent="0.45">
      <c r="A39" s="34" t="s">
        <v>140</v>
      </c>
      <c r="B39" s="34"/>
      <c r="C39" s="34"/>
    </row>
    <row r="41" spans="1:3" x14ac:dyDescent="0.35">
      <c r="A41" s="1" t="s">
        <v>141</v>
      </c>
      <c r="B41" s="1" t="s">
        <v>142</v>
      </c>
      <c r="C41" s="1" t="s">
        <v>143</v>
      </c>
    </row>
    <row r="42" spans="1:3" x14ac:dyDescent="0.35">
      <c r="A42" s="1" t="s">
        <v>144</v>
      </c>
      <c r="B42" s="1">
        <v>8</v>
      </c>
      <c r="C42" s="1" t="s">
        <v>120</v>
      </c>
    </row>
    <row r="43" spans="1:3" x14ac:dyDescent="0.35">
      <c r="A43" s="1" t="s">
        <v>145</v>
      </c>
      <c r="B43" s="1">
        <v>3</v>
      </c>
      <c r="C43" s="1" t="s">
        <v>115</v>
      </c>
    </row>
    <row r="44" spans="1:3" x14ac:dyDescent="0.35">
      <c r="A44" s="1" t="s">
        <v>146</v>
      </c>
      <c r="B44" s="1" t="s">
        <v>147</v>
      </c>
      <c r="C44" s="1" t="s">
        <v>106</v>
      </c>
    </row>
    <row r="45" spans="1:3" x14ac:dyDescent="0.35">
      <c r="A45" s="1" t="s">
        <v>148</v>
      </c>
      <c r="B45" s="1" t="s">
        <v>149</v>
      </c>
      <c r="C45" s="1" t="s">
        <v>106</v>
      </c>
    </row>
    <row r="47" spans="1:3" ht="18.5" x14ac:dyDescent="0.45">
      <c r="A47" s="34" t="s">
        <v>150</v>
      </c>
      <c r="B47" s="34"/>
      <c r="C47" s="34"/>
    </row>
    <row r="49" spans="1:1" x14ac:dyDescent="0.35">
      <c r="A49" s="1" t="s">
        <v>151</v>
      </c>
    </row>
    <row r="50" spans="1:1" x14ac:dyDescent="0.35">
      <c r="A50" s="1" t="s">
        <v>152</v>
      </c>
    </row>
    <row r="51" spans="1:1" x14ac:dyDescent="0.35">
      <c r="A51" s="1" t="s">
        <v>153</v>
      </c>
    </row>
    <row r="52" spans="1:1" x14ac:dyDescent="0.35">
      <c r="A52" s="1" t="s">
        <v>154</v>
      </c>
    </row>
    <row r="53" spans="1:1" x14ac:dyDescent="0.35">
      <c r="A53" s="1" t="s">
        <v>155</v>
      </c>
    </row>
    <row r="54" spans="1:1" x14ac:dyDescent="0.35">
      <c r="A54" s="1" t="s">
        <v>156</v>
      </c>
    </row>
  </sheetData>
  <mergeCells count="9">
    <mergeCell ref="A7:C7"/>
    <mergeCell ref="A27:C27"/>
    <mergeCell ref="A39:C39"/>
    <mergeCell ref="A47:C47"/>
    <mergeCell ref="A1:C1"/>
    <mergeCell ref="A3:C3"/>
    <mergeCell ref="A2:C2"/>
    <mergeCell ref="A4:C4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EF01-5115-42FD-8A1D-88DF4009C03D}">
  <dimension ref="A1:O21"/>
  <sheetViews>
    <sheetView zoomScale="130" zoomScaleNormal="130" workbookViewId="0">
      <selection sqref="A1:O1"/>
    </sheetView>
  </sheetViews>
  <sheetFormatPr defaultRowHeight="14.5" x14ac:dyDescent="0.35"/>
  <cols>
    <col min="1" max="1" width="17.7265625" bestFit="1" customWidth="1"/>
    <col min="2" max="2" width="10.453125" bestFit="1" customWidth="1"/>
    <col min="3" max="3" width="23.453125" style="14" bestFit="1" customWidth="1"/>
    <col min="5" max="5" width="14.54296875" style="1" bestFit="1" customWidth="1"/>
    <col min="6" max="6" width="16.26953125" style="1" bestFit="1" customWidth="1"/>
    <col min="7" max="7" width="17.7265625" style="1" bestFit="1" customWidth="1"/>
    <col min="8" max="8" width="22.453125" bestFit="1" customWidth="1"/>
    <col min="9" max="9" width="6.7265625" style="11" bestFit="1" customWidth="1"/>
    <col min="11" max="11" width="43.1796875" bestFit="1" customWidth="1"/>
    <col min="12" max="12" width="15.54296875" bestFit="1" customWidth="1"/>
    <col min="14" max="14" width="25.7265625" bestFit="1" customWidth="1"/>
    <col min="15" max="15" width="28.453125" bestFit="1" customWidth="1"/>
  </cols>
  <sheetData>
    <row r="1" spans="1:15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3" spans="1:15" x14ac:dyDescent="0.35">
      <c r="A3" s="2" t="s">
        <v>1</v>
      </c>
      <c r="B3" s="2" t="s">
        <v>2</v>
      </c>
      <c r="C3" s="3" t="s">
        <v>3</v>
      </c>
      <c r="D3" s="4"/>
      <c r="E3" s="5" t="s">
        <v>4</v>
      </c>
      <c r="F3" s="5" t="s">
        <v>5</v>
      </c>
      <c r="G3" s="2" t="s">
        <v>6</v>
      </c>
      <c r="H3" s="2" t="s">
        <v>7</v>
      </c>
      <c r="I3" s="6" t="s">
        <v>8</v>
      </c>
      <c r="J3" s="4"/>
      <c r="K3" s="2" t="s">
        <v>9</v>
      </c>
      <c r="L3" s="2"/>
      <c r="M3" s="4"/>
      <c r="N3" s="2" t="s">
        <v>10</v>
      </c>
      <c r="O3" s="2" t="s">
        <v>11</v>
      </c>
    </row>
    <row r="4" spans="1:15" x14ac:dyDescent="0.35">
      <c r="A4" s="7">
        <v>1</v>
      </c>
      <c r="B4" s="7" t="s">
        <v>12</v>
      </c>
      <c r="C4" s="8">
        <f>IF(RIGHT(TRIM(B4),2)="mV",VALUE(LEFT(TRIM(B4),LEN(TRIM(B4))-2))/1000,IF(RIGHT(TRIM(B4),1)="V",VALUE(LEFT(TRIM(B4),LEN(TRIM(B4))-1)),""))</f>
        <v>4.8000000000000001E-2</v>
      </c>
      <c r="E4" s="7" cm="1">
        <f t="array" ref="E4">_xlfn.LET(_xlpm.target,$F$4,_xlpm.steps,$A$4:$A$19,_xlpm.vals,$C$4:$C$19,INDEX(_xlpm.steps,_xlfn.XMATCH(MIN(ABS(_xlpm.vals-_xlpm.target)),ABS(_xlpm.vals-_xlpm.target),0)))</f>
        <v>15</v>
      </c>
      <c r="F4" s="9">
        <f>0.7*MAX($C$4:$C$19)</f>
        <v>0.8567999999999999</v>
      </c>
      <c r="G4" s="8">
        <f>_xlfn.XLOOKUP($E$4,$A$4:$A$19,$C$4:$C$19)</f>
        <v>0.872</v>
      </c>
      <c r="H4" s="7">
        <f>G4-F4</f>
        <v>1.5200000000000102E-2</v>
      </c>
      <c r="I4" s="10">
        <f>(G4-F4)/F4</f>
        <v>1.7740429505135508E-2</v>
      </c>
      <c r="K4" s="7" t="s">
        <v>13</v>
      </c>
      <c r="L4" s="7" t="s">
        <v>14</v>
      </c>
      <c r="N4" s="7">
        <v>1</v>
      </c>
      <c r="O4" s="8">
        <f>$F$4</f>
        <v>0.8567999999999999</v>
      </c>
    </row>
    <row r="5" spans="1:15" x14ac:dyDescent="0.35">
      <c r="A5" s="7">
        <v>2</v>
      </c>
      <c r="B5" s="7" t="s">
        <v>12</v>
      </c>
      <c r="C5" s="8">
        <f t="shared" ref="C5:C19" si="0">IF(RIGHT(TRIM(B5),2)="mV",VALUE(LEFT(TRIM(B5),LEN(TRIM(B5))-2))/1000,IF(RIGHT(TRIM(B5),1)="V",VALUE(LEFT(TRIM(B5),LEN(TRIM(B5))-1)),""))</f>
        <v>4.8000000000000001E-2</v>
      </c>
      <c r="K5" s="7" t="s">
        <v>15</v>
      </c>
      <c r="L5" s="7">
        <v>440</v>
      </c>
      <c r="N5" s="7">
        <v>16</v>
      </c>
      <c r="O5" s="8">
        <f>$F$4</f>
        <v>0.8567999999999999</v>
      </c>
    </row>
    <row r="6" spans="1:15" x14ac:dyDescent="0.35">
      <c r="A6" s="7">
        <v>3</v>
      </c>
      <c r="B6" s="7" t="s">
        <v>12</v>
      </c>
      <c r="C6" s="8">
        <f t="shared" si="0"/>
        <v>4.8000000000000001E-2</v>
      </c>
      <c r="K6" s="7" t="s">
        <v>16</v>
      </c>
      <c r="L6" s="7" t="s">
        <v>17</v>
      </c>
      <c r="N6" s="1"/>
      <c r="O6" s="1"/>
    </row>
    <row r="7" spans="1:15" x14ac:dyDescent="0.35">
      <c r="A7" s="7">
        <v>4</v>
      </c>
      <c r="B7" s="7" t="s">
        <v>12</v>
      </c>
      <c r="C7" s="8">
        <f t="shared" si="0"/>
        <v>4.8000000000000001E-2</v>
      </c>
      <c r="K7" s="7" t="s">
        <v>18</v>
      </c>
      <c r="L7" s="7" t="s">
        <v>19</v>
      </c>
      <c r="N7" s="12">
        <f>$E$4</f>
        <v>15</v>
      </c>
      <c r="O7" s="13">
        <f>$G$4</f>
        <v>0.872</v>
      </c>
    </row>
    <row r="8" spans="1:15" x14ac:dyDescent="0.35">
      <c r="A8" s="7">
        <v>5</v>
      </c>
      <c r="B8" s="7" t="s">
        <v>12</v>
      </c>
      <c r="C8" s="8">
        <f t="shared" si="0"/>
        <v>4.8000000000000001E-2</v>
      </c>
      <c r="K8" s="7" t="s">
        <v>20</v>
      </c>
      <c r="L8" s="8">
        <f>MAX($C$4:$C$19)</f>
        <v>1.224</v>
      </c>
    </row>
    <row r="9" spans="1:15" x14ac:dyDescent="0.35">
      <c r="A9" s="7">
        <v>6</v>
      </c>
      <c r="B9" s="7" t="s">
        <v>12</v>
      </c>
      <c r="C9" s="8">
        <f t="shared" si="0"/>
        <v>4.8000000000000001E-2</v>
      </c>
      <c r="K9" s="7" t="s">
        <v>21</v>
      </c>
      <c r="L9" s="8">
        <f>$F$4</f>
        <v>0.8567999999999999</v>
      </c>
    </row>
    <row r="10" spans="1:15" x14ac:dyDescent="0.35">
      <c r="A10" s="7">
        <v>7</v>
      </c>
      <c r="B10" s="7" t="s">
        <v>22</v>
      </c>
      <c r="C10" s="8">
        <f t="shared" si="0"/>
        <v>5.6000000000000001E-2</v>
      </c>
      <c r="K10" s="7" t="s">
        <v>23</v>
      </c>
      <c r="L10" s="12" t="str">
        <f>"Step "&amp;$E$4</f>
        <v>Step 15</v>
      </c>
    </row>
    <row r="11" spans="1:15" x14ac:dyDescent="0.35">
      <c r="A11" s="7">
        <v>8</v>
      </c>
      <c r="B11" s="7" t="s">
        <v>24</v>
      </c>
      <c r="C11" s="8">
        <f t="shared" si="0"/>
        <v>7.1999999999999995E-2</v>
      </c>
      <c r="K11" s="7" t="s">
        <v>6</v>
      </c>
      <c r="L11" s="8">
        <f>$G$4</f>
        <v>0.872</v>
      </c>
    </row>
    <row r="12" spans="1:15" x14ac:dyDescent="0.35">
      <c r="A12" s="7">
        <v>9</v>
      </c>
      <c r="B12" s="7" t="s">
        <v>25</v>
      </c>
      <c r="C12" s="8">
        <f t="shared" si="0"/>
        <v>0.104</v>
      </c>
      <c r="K12" s="7" t="s">
        <v>7</v>
      </c>
      <c r="L12" s="8">
        <f>$H$4</f>
        <v>1.5200000000000102E-2</v>
      </c>
    </row>
    <row r="13" spans="1:15" x14ac:dyDescent="0.35">
      <c r="A13" s="7">
        <v>10</v>
      </c>
      <c r="B13" s="7" t="s">
        <v>26</v>
      </c>
      <c r="C13" s="8">
        <f t="shared" si="0"/>
        <v>0.152</v>
      </c>
      <c r="K13" s="7" t="s">
        <v>27</v>
      </c>
      <c r="L13" s="10">
        <f>$I$4</f>
        <v>1.7740429505135508E-2</v>
      </c>
    </row>
    <row r="14" spans="1:15" x14ac:dyDescent="0.35">
      <c r="A14" s="7">
        <v>11</v>
      </c>
      <c r="B14" s="7" t="s">
        <v>28</v>
      </c>
      <c r="C14" s="8">
        <f t="shared" si="0"/>
        <v>0.20799999999999999</v>
      </c>
      <c r="K14" s="7" t="s">
        <v>29</v>
      </c>
      <c r="L14" s="8">
        <f>$G$4/(2*SQRT(2))</f>
        <v>0.30829855659733468</v>
      </c>
    </row>
    <row r="15" spans="1:15" x14ac:dyDescent="0.35">
      <c r="A15" s="7">
        <v>12</v>
      </c>
      <c r="B15" s="7" t="s">
        <v>30</v>
      </c>
      <c r="C15" s="8">
        <f t="shared" si="0"/>
        <v>0.32</v>
      </c>
      <c r="K15" s="7" t="s">
        <v>31</v>
      </c>
      <c r="L15" s="8">
        <f>$G$4</f>
        <v>0.872</v>
      </c>
    </row>
    <row r="16" spans="1:15" x14ac:dyDescent="0.35">
      <c r="A16" s="7">
        <v>13</v>
      </c>
      <c r="B16" s="7" t="s">
        <v>32</v>
      </c>
      <c r="C16" s="8">
        <f t="shared" si="0"/>
        <v>0.44800000000000001</v>
      </c>
      <c r="K16" s="7" t="s">
        <v>33</v>
      </c>
      <c r="L16" s="8">
        <f>$L$14</f>
        <v>0.30829855659733468</v>
      </c>
    </row>
    <row r="17" spans="1:3" x14ac:dyDescent="0.35">
      <c r="A17" s="7">
        <v>14</v>
      </c>
      <c r="B17" s="7" t="s">
        <v>34</v>
      </c>
      <c r="C17" s="8">
        <f t="shared" si="0"/>
        <v>0.624</v>
      </c>
    </row>
    <row r="18" spans="1:3" x14ac:dyDescent="0.35">
      <c r="A18" s="7">
        <v>15</v>
      </c>
      <c r="B18" s="7" t="s">
        <v>35</v>
      </c>
      <c r="C18" s="8">
        <f t="shared" si="0"/>
        <v>0.872</v>
      </c>
    </row>
    <row r="19" spans="1:3" x14ac:dyDescent="0.35">
      <c r="A19" s="7">
        <v>16</v>
      </c>
      <c r="B19" s="7" t="s">
        <v>36</v>
      </c>
      <c r="C19" s="8">
        <f t="shared" si="0"/>
        <v>1.224</v>
      </c>
    </row>
    <row r="20" spans="1:3" x14ac:dyDescent="0.35">
      <c r="A20" s="1"/>
    </row>
    <row r="21" spans="1:3" x14ac:dyDescent="0.35">
      <c r="A21" s="1"/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E976-39F9-4559-848D-0E3136904334}">
  <dimension ref="A1:D35"/>
  <sheetViews>
    <sheetView zoomScale="140" zoomScaleNormal="140" workbookViewId="0"/>
  </sheetViews>
  <sheetFormatPr defaultRowHeight="14.5" x14ac:dyDescent="0.35"/>
  <cols>
    <col min="1" max="1" width="30.1796875" bestFit="1" customWidth="1"/>
    <col min="2" max="2" width="12" bestFit="1" customWidth="1"/>
    <col min="3" max="3" width="6.26953125" bestFit="1" customWidth="1"/>
    <col min="4" max="4" width="42.1796875" bestFit="1" customWidth="1"/>
  </cols>
  <sheetData>
    <row r="1" spans="1:4" x14ac:dyDescent="0.35">
      <c r="A1" s="2" t="s">
        <v>37</v>
      </c>
      <c r="B1" s="2" t="s">
        <v>38</v>
      </c>
      <c r="C1" s="2" t="s">
        <v>39</v>
      </c>
      <c r="D1" s="2" t="s">
        <v>40</v>
      </c>
    </row>
    <row r="2" spans="1:4" x14ac:dyDescent="0.35">
      <c r="A2" s="38" t="s">
        <v>41</v>
      </c>
      <c r="B2" s="38"/>
      <c r="C2" s="38"/>
      <c r="D2" s="39"/>
    </row>
    <row r="3" spans="1:4" x14ac:dyDescent="0.35">
      <c r="A3" s="7" t="s">
        <v>42</v>
      </c>
      <c r="B3" s="7">
        <f>'[1]MB Phone Characterisation'!L8</f>
        <v>1.224</v>
      </c>
      <c r="C3" s="7" t="s">
        <v>43</v>
      </c>
      <c r="D3" s="7"/>
    </row>
    <row r="4" spans="1:4" x14ac:dyDescent="0.35">
      <c r="A4" s="7" t="s">
        <v>44</v>
      </c>
      <c r="B4" s="7">
        <f>0.7*B3</f>
        <v>0.8567999999999999</v>
      </c>
      <c r="C4" s="7" t="s">
        <v>43</v>
      </c>
      <c r="D4" s="7"/>
    </row>
    <row r="5" spans="1:4" x14ac:dyDescent="0.35">
      <c r="A5" s="7" t="s">
        <v>45</v>
      </c>
      <c r="B5" s="7">
        <f>'[1]MB Phone Characterisation'!L15</f>
        <v>0.872</v>
      </c>
      <c r="C5" s="7" t="s">
        <v>43</v>
      </c>
      <c r="D5" s="7"/>
    </row>
    <row r="6" spans="1:4" x14ac:dyDescent="0.35">
      <c r="A6" s="7" t="s">
        <v>46</v>
      </c>
      <c r="B6" s="7">
        <f>'[1]MB Phone Characterisation'!L16</f>
        <v>0.30829855659733468</v>
      </c>
      <c r="C6" s="7" t="s">
        <v>43</v>
      </c>
      <c r="D6" s="7"/>
    </row>
    <row r="7" spans="1:4" x14ac:dyDescent="0.35">
      <c r="A7" s="38" t="s">
        <v>47</v>
      </c>
      <c r="B7" s="38"/>
      <c r="C7" s="38"/>
      <c r="D7" s="39"/>
    </row>
    <row r="8" spans="1:4" x14ac:dyDescent="0.35">
      <c r="A8" s="7" t="s">
        <v>48</v>
      </c>
      <c r="B8" s="7">
        <v>3</v>
      </c>
      <c r="C8" s="7" t="s">
        <v>43</v>
      </c>
      <c r="D8" s="7"/>
    </row>
    <row r="9" spans="1:4" x14ac:dyDescent="0.35">
      <c r="A9" s="7" t="s">
        <v>49</v>
      </c>
      <c r="B9" s="7">
        <f>B8/B5</f>
        <v>3.4403669724770642</v>
      </c>
      <c r="C9" s="7" t="s">
        <v>50</v>
      </c>
      <c r="D9" s="7"/>
    </row>
    <row r="10" spans="1:4" x14ac:dyDescent="0.35">
      <c r="A10" s="7" t="s">
        <v>51</v>
      </c>
      <c r="B10" s="7">
        <f>20*LOG10(B9)</f>
        <v>10.732095395741904</v>
      </c>
      <c r="C10" s="7" t="s">
        <v>52</v>
      </c>
      <c r="D10" s="7"/>
    </row>
    <row r="11" spans="1:4" x14ac:dyDescent="0.35">
      <c r="A11" s="7"/>
      <c r="B11" s="7"/>
      <c r="C11" s="7"/>
      <c r="D11" s="7"/>
    </row>
    <row r="12" spans="1:4" x14ac:dyDescent="0.35">
      <c r="A12" s="7" t="s">
        <v>53</v>
      </c>
      <c r="B12" s="7">
        <v>82000</v>
      </c>
      <c r="C12" s="7" t="s">
        <v>54</v>
      </c>
      <c r="D12" s="7" t="s">
        <v>55</v>
      </c>
    </row>
    <row r="13" spans="1:4" x14ac:dyDescent="0.35">
      <c r="A13" s="7" t="s">
        <v>56</v>
      </c>
      <c r="B13" s="7">
        <f>B12/B9</f>
        <v>23834.666666666668</v>
      </c>
      <c r="C13" s="7" t="s">
        <v>54</v>
      </c>
      <c r="D13" s="7"/>
    </row>
    <row r="14" spans="1:4" x14ac:dyDescent="0.35">
      <c r="A14" s="7" t="s">
        <v>57</v>
      </c>
      <c r="B14" s="7">
        <v>24000</v>
      </c>
      <c r="C14" s="7" t="s">
        <v>54</v>
      </c>
      <c r="D14" s="7" t="s">
        <v>58</v>
      </c>
    </row>
    <row r="15" spans="1:4" x14ac:dyDescent="0.35">
      <c r="A15" s="7" t="s">
        <v>59</v>
      </c>
      <c r="B15" s="7">
        <f>B12/B14</f>
        <v>3.4166666666666665</v>
      </c>
      <c r="C15" s="7" t="s">
        <v>50</v>
      </c>
      <c r="D15" s="7"/>
    </row>
    <row r="16" spans="1:4" x14ac:dyDescent="0.35">
      <c r="A16" s="7" t="s">
        <v>60</v>
      </c>
      <c r="B16" s="7">
        <f>20*LOG10(B15)</f>
        <v>10.672052213442214</v>
      </c>
      <c r="C16" s="7" t="s">
        <v>52</v>
      </c>
      <c r="D16" s="7"/>
    </row>
    <row r="17" spans="1:4" x14ac:dyDescent="0.35">
      <c r="A17" s="38" t="s">
        <v>61</v>
      </c>
      <c r="B17" s="38"/>
      <c r="C17" s="38"/>
      <c r="D17" s="39"/>
    </row>
    <row r="18" spans="1:4" x14ac:dyDescent="0.35">
      <c r="A18" s="7" t="s">
        <v>62</v>
      </c>
      <c r="B18" s="7">
        <v>5</v>
      </c>
      <c r="C18" s="7" t="s">
        <v>63</v>
      </c>
      <c r="D18" s="7"/>
    </row>
    <row r="19" spans="1:4" x14ac:dyDescent="0.35">
      <c r="A19" s="7" t="s">
        <v>64</v>
      </c>
      <c r="B19" s="7">
        <f>1/(2*PI()*B14*B18)</f>
        <v>1.3262911924324611E-6</v>
      </c>
      <c r="C19" s="7" t="s">
        <v>65</v>
      </c>
      <c r="D19" s="7"/>
    </row>
    <row r="20" spans="1:4" x14ac:dyDescent="0.35">
      <c r="A20" s="7" t="s">
        <v>66</v>
      </c>
      <c r="B20" s="15">
        <v>9.9999999999999995E-7</v>
      </c>
      <c r="C20" s="7" t="s">
        <v>65</v>
      </c>
      <c r="D20" s="7" t="s">
        <v>67</v>
      </c>
    </row>
    <row r="21" spans="1:4" x14ac:dyDescent="0.35">
      <c r="A21" s="7" t="s">
        <v>68</v>
      </c>
      <c r="B21" s="7">
        <f>1/(2*PI()*B14*B20)</f>
        <v>6.6314559621623062</v>
      </c>
      <c r="C21" s="7" t="s">
        <v>63</v>
      </c>
      <c r="D21" s="7"/>
    </row>
    <row r="22" spans="1:4" x14ac:dyDescent="0.35">
      <c r="A22" s="38" t="s">
        <v>69</v>
      </c>
      <c r="B22" s="38"/>
      <c r="C22" s="38"/>
      <c r="D22" s="39"/>
    </row>
    <row r="23" spans="1:4" x14ac:dyDescent="0.35">
      <c r="A23" s="7" t="s">
        <v>70</v>
      </c>
      <c r="B23" s="7">
        <v>29000</v>
      </c>
      <c r="C23" s="7" t="s">
        <v>63</v>
      </c>
      <c r="D23" s="7"/>
    </row>
    <row r="24" spans="1:4" x14ac:dyDescent="0.35">
      <c r="A24" s="7" t="s">
        <v>71</v>
      </c>
      <c r="B24" s="7">
        <f>1/(2*PI()*$B$12*B23)</f>
        <v>6.6928066901553963E-11</v>
      </c>
      <c r="C24" s="7" t="s">
        <v>65</v>
      </c>
      <c r="D24" s="7"/>
    </row>
    <row r="25" spans="1:4" x14ac:dyDescent="0.35">
      <c r="A25" s="7" t="s">
        <v>72</v>
      </c>
      <c r="B25" s="15">
        <v>6.7999999999999998E-11</v>
      </c>
      <c r="C25" s="7" t="s">
        <v>65</v>
      </c>
      <c r="D25" s="7" t="s">
        <v>73</v>
      </c>
    </row>
    <row r="26" spans="1:4" x14ac:dyDescent="0.35">
      <c r="A26" s="7" t="s">
        <v>74</v>
      </c>
      <c r="B26" s="7">
        <f>1/(2*PI()*$B$12*$B$25)</f>
        <v>28542.852060956844</v>
      </c>
      <c r="C26" s="7" t="s">
        <v>63</v>
      </c>
      <c r="D26" s="7"/>
    </row>
    <row r="27" spans="1:4" x14ac:dyDescent="0.35">
      <c r="A27" s="38" t="s">
        <v>75</v>
      </c>
      <c r="B27" s="38"/>
      <c r="C27" s="38"/>
      <c r="D27" s="39"/>
    </row>
    <row r="28" spans="1:4" x14ac:dyDescent="0.35">
      <c r="A28" s="7" t="s">
        <v>76</v>
      </c>
      <c r="B28" s="15">
        <v>9.9999999999999995E-8</v>
      </c>
      <c r="C28" s="7" t="s">
        <v>65</v>
      </c>
      <c r="D28" s="7" t="s">
        <v>77</v>
      </c>
    </row>
    <row r="29" spans="1:4" x14ac:dyDescent="0.35">
      <c r="A29" s="7" t="s">
        <v>78</v>
      </c>
      <c r="B29" s="15">
        <v>9.9999999999999995E-8</v>
      </c>
      <c r="C29" s="7" t="s">
        <v>65</v>
      </c>
      <c r="D29" s="7" t="s">
        <v>77</v>
      </c>
    </row>
    <row r="30" spans="1:4" x14ac:dyDescent="0.35">
      <c r="A30" s="7"/>
      <c r="B30" s="7"/>
      <c r="C30" s="7"/>
      <c r="D30" s="7"/>
    </row>
    <row r="31" spans="1:4" x14ac:dyDescent="0.35">
      <c r="A31" s="7" t="s">
        <v>79</v>
      </c>
      <c r="B31" s="15">
        <v>9.9999999999999995E-8</v>
      </c>
      <c r="C31" s="7" t="s">
        <v>65</v>
      </c>
      <c r="D31" s="7" t="s">
        <v>77</v>
      </c>
    </row>
    <row r="32" spans="1:4" x14ac:dyDescent="0.35">
      <c r="A32" s="7" t="s">
        <v>80</v>
      </c>
      <c r="B32" s="15">
        <v>9.9999999999999995E-8</v>
      </c>
      <c r="C32" s="7" t="s">
        <v>65</v>
      </c>
      <c r="D32" s="7" t="s">
        <v>77</v>
      </c>
    </row>
    <row r="33" spans="1:4" x14ac:dyDescent="0.35">
      <c r="A33" s="7"/>
      <c r="B33" s="7"/>
      <c r="C33" s="7"/>
      <c r="D33" s="7"/>
    </row>
    <row r="34" spans="1:4" x14ac:dyDescent="0.35">
      <c r="A34" s="7" t="s">
        <v>81</v>
      </c>
      <c r="B34" s="15">
        <v>1.0000000000000001E-5</v>
      </c>
      <c r="C34" s="7" t="s">
        <v>65</v>
      </c>
      <c r="D34" s="7" t="s">
        <v>82</v>
      </c>
    </row>
    <row r="35" spans="1:4" x14ac:dyDescent="0.35">
      <c r="A35" s="7" t="s">
        <v>83</v>
      </c>
      <c r="B35" s="15">
        <v>1.0000000000000001E-5</v>
      </c>
      <c r="C35" s="7" t="s">
        <v>65</v>
      </c>
      <c r="D35" s="7" t="s">
        <v>82</v>
      </c>
    </row>
  </sheetData>
  <mergeCells count="5">
    <mergeCell ref="A2:D2"/>
    <mergeCell ref="A7:D7"/>
    <mergeCell ref="A17:D17"/>
    <mergeCell ref="A22:D22"/>
    <mergeCell ref="A27:D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1967-4BB6-4DE3-AE5A-230840AEDFFF}">
  <dimension ref="A1:I34"/>
  <sheetViews>
    <sheetView tabSelected="1" zoomScale="70" zoomScaleNormal="70" workbookViewId="0">
      <selection sqref="A1:I1"/>
    </sheetView>
  </sheetViews>
  <sheetFormatPr defaultRowHeight="14.5" x14ac:dyDescent="0.35"/>
  <cols>
    <col min="1" max="1" width="51.54296875" bestFit="1" customWidth="1"/>
    <col min="2" max="2" width="8.26953125" bestFit="1" customWidth="1"/>
    <col min="3" max="3" width="11.36328125" bestFit="1" customWidth="1"/>
    <col min="4" max="4" width="12.7265625" bestFit="1" customWidth="1"/>
    <col min="5" max="5" width="15.90625" bestFit="1" customWidth="1"/>
    <col min="6" max="6" width="48.08984375" bestFit="1" customWidth="1"/>
    <col min="8" max="8" width="16.08984375" bestFit="1" customWidth="1"/>
    <col min="9" max="9" width="8.26953125" bestFit="1" customWidth="1"/>
  </cols>
  <sheetData>
    <row r="1" spans="1:9" ht="16" x14ac:dyDescent="0.4">
      <c r="A1" s="43" t="s">
        <v>176</v>
      </c>
      <c r="B1" s="43"/>
      <c r="C1" s="43"/>
      <c r="D1" s="43"/>
      <c r="E1" s="43"/>
      <c r="F1" s="43"/>
      <c r="G1" s="43"/>
      <c r="H1" s="43"/>
      <c r="I1" s="43"/>
    </row>
    <row r="3" spans="1:9" x14ac:dyDescent="0.35">
      <c r="A3" s="44" t="s">
        <v>177</v>
      </c>
      <c r="B3" s="41"/>
      <c r="C3" s="41"/>
      <c r="D3" s="45" t="s">
        <v>178</v>
      </c>
      <c r="E3" s="41"/>
    </row>
    <row r="4" spans="1:9" x14ac:dyDescent="0.35">
      <c r="A4" s="44" t="s">
        <v>179</v>
      </c>
      <c r="B4" s="41"/>
      <c r="C4" s="41"/>
      <c r="D4" s="45" t="s">
        <v>180</v>
      </c>
      <c r="E4" s="41"/>
    </row>
    <row r="5" spans="1:9" x14ac:dyDescent="0.35">
      <c r="A5" s="44" t="s">
        <v>181</v>
      </c>
      <c r="B5" s="41"/>
      <c r="C5" s="41"/>
      <c r="D5" s="45" t="s">
        <v>182</v>
      </c>
      <c r="E5" s="41"/>
    </row>
    <row r="6" spans="1:9" x14ac:dyDescent="0.35">
      <c r="A6" s="44" t="s">
        <v>183</v>
      </c>
      <c r="B6" s="41"/>
      <c r="C6" s="41"/>
      <c r="D6" s="45" t="s">
        <v>184</v>
      </c>
      <c r="E6" s="41"/>
    </row>
    <row r="7" spans="1:9" x14ac:dyDescent="0.35">
      <c r="A7" s="44" t="s">
        <v>185</v>
      </c>
      <c r="B7" s="41"/>
      <c r="C7" s="41"/>
      <c r="D7" s="45" t="s">
        <v>186</v>
      </c>
      <c r="E7" s="41"/>
    </row>
    <row r="8" spans="1:9" x14ac:dyDescent="0.35">
      <c r="A8" s="44" t="s">
        <v>187</v>
      </c>
      <c r="B8" s="41"/>
      <c r="C8" s="41"/>
      <c r="D8" s="45" t="s">
        <v>188</v>
      </c>
      <c r="E8" s="41"/>
    </row>
    <row r="9" spans="1:9" x14ac:dyDescent="0.35">
      <c r="A9" s="44" t="s">
        <v>189</v>
      </c>
      <c r="B9" s="41"/>
      <c r="C9" s="41"/>
      <c r="D9" s="45">
        <v>29</v>
      </c>
      <c r="E9" s="41"/>
    </row>
    <row r="10" spans="1:9" ht="15" thickBot="1" x14ac:dyDescent="0.4">
      <c r="H10" t="s">
        <v>190</v>
      </c>
    </row>
    <row r="11" spans="1:9" ht="15" thickBot="1" x14ac:dyDescent="0.4">
      <c r="A11" s="46" t="s">
        <v>191</v>
      </c>
      <c r="B11" s="47" t="s">
        <v>192</v>
      </c>
      <c r="C11" s="48" t="s">
        <v>193</v>
      </c>
      <c r="D11" s="48" t="s">
        <v>194</v>
      </c>
      <c r="E11" s="49" t="s">
        <v>195</v>
      </c>
      <c r="F11" s="47" t="s">
        <v>196</v>
      </c>
      <c r="H11" s="48" t="s">
        <v>191</v>
      </c>
      <c r="I11" s="48" t="s">
        <v>192</v>
      </c>
    </row>
    <row r="12" spans="1:9" x14ac:dyDescent="0.35">
      <c r="A12" s="50" t="s">
        <v>197</v>
      </c>
      <c r="B12" s="51">
        <v>1</v>
      </c>
      <c r="C12" s="52" t="s">
        <v>198</v>
      </c>
      <c r="D12" s="53" t="s">
        <v>199</v>
      </c>
      <c r="E12" s="54" t="s">
        <v>73</v>
      </c>
      <c r="F12" s="55" t="s">
        <v>200</v>
      </c>
      <c r="H12" s="56" t="s">
        <v>201</v>
      </c>
      <c r="I12" s="57">
        <v>0</v>
      </c>
    </row>
    <row r="13" spans="1:9" x14ac:dyDescent="0.35">
      <c r="A13" s="50" t="s">
        <v>197</v>
      </c>
      <c r="B13" s="51">
        <v>2</v>
      </c>
      <c r="C13" s="52" t="s">
        <v>202</v>
      </c>
      <c r="D13" s="53" t="s">
        <v>203</v>
      </c>
      <c r="E13" s="54" t="s">
        <v>204</v>
      </c>
      <c r="F13" s="55" t="s">
        <v>205</v>
      </c>
      <c r="H13" s="56" t="s">
        <v>197</v>
      </c>
      <c r="I13" s="57">
        <v>8</v>
      </c>
    </row>
    <row r="14" spans="1:9" x14ac:dyDescent="0.35">
      <c r="A14" s="50" t="s">
        <v>197</v>
      </c>
      <c r="B14" s="51">
        <v>3</v>
      </c>
      <c r="C14" s="52" t="s">
        <v>206</v>
      </c>
      <c r="D14" s="53" t="s">
        <v>207</v>
      </c>
      <c r="E14" s="54" t="s">
        <v>77</v>
      </c>
      <c r="F14" s="55" t="s">
        <v>208</v>
      </c>
      <c r="H14" s="56" t="s">
        <v>209</v>
      </c>
      <c r="I14" s="57">
        <v>7</v>
      </c>
    </row>
    <row r="15" spans="1:9" x14ac:dyDescent="0.35">
      <c r="A15" s="50" t="s">
        <v>197</v>
      </c>
      <c r="B15" s="51">
        <v>1</v>
      </c>
      <c r="C15" s="52" t="s">
        <v>210</v>
      </c>
      <c r="D15" s="53" t="s">
        <v>211</v>
      </c>
      <c r="E15" s="54" t="s">
        <v>82</v>
      </c>
      <c r="F15" s="55" t="s">
        <v>212</v>
      </c>
      <c r="H15" s="56" t="s">
        <v>213</v>
      </c>
      <c r="I15" s="57">
        <v>2</v>
      </c>
    </row>
    <row r="16" spans="1:9" ht="15" thickBot="1" x14ac:dyDescent="0.4">
      <c r="A16" s="58" t="s">
        <v>197</v>
      </c>
      <c r="B16" s="59">
        <v>1</v>
      </c>
      <c r="C16" s="60" t="s">
        <v>214</v>
      </c>
      <c r="D16" s="61" t="s">
        <v>215</v>
      </c>
      <c r="E16" s="62" t="s">
        <v>216</v>
      </c>
      <c r="F16" s="63" t="s">
        <v>217</v>
      </c>
      <c r="H16" s="56" t="s">
        <v>218</v>
      </c>
      <c r="I16" s="57">
        <v>0</v>
      </c>
    </row>
    <row r="17" spans="1:9" x14ac:dyDescent="0.35">
      <c r="A17" s="50" t="s">
        <v>209</v>
      </c>
      <c r="B17" s="51">
        <v>1</v>
      </c>
      <c r="C17" s="52" t="s">
        <v>219</v>
      </c>
      <c r="D17" s="53" t="s">
        <v>220</v>
      </c>
      <c r="E17" s="54" t="s">
        <v>221</v>
      </c>
      <c r="F17" s="55" t="s">
        <v>222</v>
      </c>
      <c r="H17" s="56" t="s">
        <v>223</v>
      </c>
      <c r="I17" s="57">
        <v>3</v>
      </c>
    </row>
    <row r="18" spans="1:9" ht="15" thickBot="1" x14ac:dyDescent="0.4">
      <c r="A18" s="50" t="s">
        <v>209</v>
      </c>
      <c r="B18" s="51">
        <v>4</v>
      </c>
      <c r="C18" s="52" t="s">
        <v>224</v>
      </c>
      <c r="D18" s="53" t="s">
        <v>225</v>
      </c>
      <c r="E18" s="54" t="s">
        <v>226</v>
      </c>
      <c r="F18" s="55" t="s">
        <v>227</v>
      </c>
      <c r="H18" s="56" t="s">
        <v>228</v>
      </c>
      <c r="I18" s="57">
        <v>9</v>
      </c>
    </row>
    <row r="19" spans="1:9" ht="15" thickBot="1" x14ac:dyDescent="0.4">
      <c r="A19" s="50" t="s">
        <v>209</v>
      </c>
      <c r="B19" s="51">
        <v>1</v>
      </c>
      <c r="C19" s="52" t="s">
        <v>229</v>
      </c>
      <c r="D19" s="53" t="s">
        <v>230</v>
      </c>
      <c r="E19" s="54" t="s">
        <v>231</v>
      </c>
      <c r="F19" s="55" t="s">
        <v>232</v>
      </c>
      <c r="H19" s="64" t="s">
        <v>233</v>
      </c>
      <c r="I19" s="65">
        <v>29</v>
      </c>
    </row>
    <row r="20" spans="1:9" ht="15" thickBot="1" x14ac:dyDescent="0.4">
      <c r="A20" s="58" t="s">
        <v>209</v>
      </c>
      <c r="B20" s="59">
        <v>1</v>
      </c>
      <c r="C20" s="60" t="s">
        <v>234</v>
      </c>
      <c r="D20" s="61" t="s">
        <v>235</v>
      </c>
      <c r="E20" s="62" t="s">
        <v>236</v>
      </c>
      <c r="F20" s="63" t="s">
        <v>237</v>
      </c>
    </row>
    <row r="21" spans="1:9" x14ac:dyDescent="0.35">
      <c r="A21" s="50" t="s">
        <v>213</v>
      </c>
      <c r="B21" s="51">
        <v>1</v>
      </c>
      <c r="C21" s="52" t="s">
        <v>238</v>
      </c>
      <c r="D21" s="50" t="s">
        <v>239</v>
      </c>
      <c r="E21" s="54" t="s">
        <v>239</v>
      </c>
      <c r="F21" s="55" t="s">
        <v>240</v>
      </c>
    </row>
    <row r="22" spans="1:9" ht="15" thickBot="1" x14ac:dyDescent="0.4">
      <c r="A22" s="58" t="s">
        <v>213</v>
      </c>
      <c r="B22" s="59">
        <v>1</v>
      </c>
      <c r="C22" s="60" t="s">
        <v>241</v>
      </c>
      <c r="D22" s="58" t="s">
        <v>242</v>
      </c>
      <c r="E22" s="62" t="s">
        <v>242</v>
      </c>
      <c r="F22" s="63" t="s">
        <v>243</v>
      </c>
    </row>
    <row r="23" spans="1:9" x14ac:dyDescent="0.35">
      <c r="A23" s="50" t="s">
        <v>223</v>
      </c>
      <c r="B23" s="51">
        <v>1</v>
      </c>
      <c r="C23" s="52" t="s">
        <v>244</v>
      </c>
      <c r="D23" s="50" t="s">
        <v>245</v>
      </c>
      <c r="E23" s="54" t="s">
        <v>245</v>
      </c>
      <c r="F23" s="55" t="s">
        <v>246</v>
      </c>
    </row>
    <row r="24" spans="1:9" ht="15" thickBot="1" x14ac:dyDescent="0.4">
      <c r="A24" s="58" t="s">
        <v>223</v>
      </c>
      <c r="B24" s="59">
        <v>2</v>
      </c>
      <c r="C24" s="60" t="s">
        <v>247</v>
      </c>
      <c r="D24" s="58" t="s">
        <v>248</v>
      </c>
      <c r="E24" s="62" t="s">
        <v>249</v>
      </c>
      <c r="F24" s="63" t="s">
        <v>250</v>
      </c>
    </row>
    <row r="25" spans="1:9" x14ac:dyDescent="0.35">
      <c r="A25" s="50" t="s">
        <v>228</v>
      </c>
      <c r="B25" s="51">
        <v>1</v>
      </c>
      <c r="C25" s="52" t="s">
        <v>251</v>
      </c>
      <c r="D25" s="50" t="s">
        <v>252</v>
      </c>
      <c r="E25" s="54" t="s">
        <v>252</v>
      </c>
      <c r="F25" s="55" t="s">
        <v>253</v>
      </c>
    </row>
    <row r="26" spans="1:9" x14ac:dyDescent="0.35">
      <c r="A26" s="50" t="s">
        <v>228</v>
      </c>
      <c r="B26" s="51">
        <v>1</v>
      </c>
      <c r="C26" s="52" t="s">
        <v>254</v>
      </c>
      <c r="D26" s="50" t="s">
        <v>255</v>
      </c>
      <c r="E26" s="54" t="s">
        <v>255</v>
      </c>
      <c r="F26" s="55" t="s">
        <v>256</v>
      </c>
    </row>
    <row r="27" spans="1:9" x14ac:dyDescent="0.35">
      <c r="A27" s="50" t="s">
        <v>228</v>
      </c>
      <c r="B27" s="51">
        <v>1</v>
      </c>
      <c r="C27" s="52" t="s">
        <v>257</v>
      </c>
      <c r="D27" s="50" t="s">
        <v>258</v>
      </c>
      <c r="E27" s="54" t="s">
        <v>258</v>
      </c>
      <c r="F27" s="55" t="s">
        <v>259</v>
      </c>
    </row>
    <row r="28" spans="1:9" x14ac:dyDescent="0.35">
      <c r="A28" s="50" t="s">
        <v>228</v>
      </c>
      <c r="B28" s="51">
        <v>1</v>
      </c>
      <c r="C28" s="52" t="s">
        <v>260</v>
      </c>
      <c r="D28" s="50" t="s">
        <v>261</v>
      </c>
      <c r="E28" s="54" t="s">
        <v>261</v>
      </c>
      <c r="F28" s="55" t="s">
        <v>262</v>
      </c>
    </row>
    <row r="29" spans="1:9" x14ac:dyDescent="0.35">
      <c r="A29" s="50" t="s">
        <v>228</v>
      </c>
      <c r="B29" s="51">
        <v>1</v>
      </c>
      <c r="C29" s="52" t="s">
        <v>263</v>
      </c>
      <c r="D29" s="50" t="s">
        <v>264</v>
      </c>
      <c r="E29" s="54" t="s">
        <v>265</v>
      </c>
      <c r="F29" s="55" t="s">
        <v>266</v>
      </c>
    </row>
    <row r="30" spans="1:9" x14ac:dyDescent="0.35">
      <c r="A30" s="50" t="s">
        <v>228</v>
      </c>
      <c r="B30" s="51">
        <v>1</v>
      </c>
      <c r="C30" s="52" t="s">
        <v>267</v>
      </c>
      <c r="D30" s="50" t="s">
        <v>268</v>
      </c>
      <c r="E30" s="54" t="s">
        <v>265</v>
      </c>
      <c r="F30" s="55" t="s">
        <v>269</v>
      </c>
    </row>
    <row r="31" spans="1:9" x14ac:dyDescent="0.35">
      <c r="A31" s="50" t="s">
        <v>228</v>
      </c>
      <c r="B31" s="51">
        <v>1</v>
      </c>
      <c r="C31" s="52" t="s">
        <v>270</v>
      </c>
      <c r="D31" s="50" t="s">
        <v>271</v>
      </c>
      <c r="E31" s="54" t="s">
        <v>265</v>
      </c>
      <c r="F31" s="55" t="s">
        <v>272</v>
      </c>
    </row>
    <row r="32" spans="1:9" x14ac:dyDescent="0.35">
      <c r="A32" s="50" t="s">
        <v>228</v>
      </c>
      <c r="B32" s="51">
        <v>1</v>
      </c>
      <c r="C32" s="52" t="s">
        <v>273</v>
      </c>
      <c r="D32" s="50" t="s">
        <v>274</v>
      </c>
      <c r="E32" s="54" t="s">
        <v>265</v>
      </c>
      <c r="F32" s="55" t="s">
        <v>275</v>
      </c>
    </row>
    <row r="33" spans="1:6" ht="15" thickBot="1" x14ac:dyDescent="0.4">
      <c r="A33" s="66" t="s">
        <v>228</v>
      </c>
      <c r="B33" s="59">
        <v>1</v>
      </c>
      <c r="C33" s="60" t="s">
        <v>276</v>
      </c>
      <c r="D33" s="58" t="s">
        <v>265</v>
      </c>
      <c r="E33" s="62" t="s">
        <v>265</v>
      </c>
      <c r="F33" s="67" t="s">
        <v>277</v>
      </c>
    </row>
    <row r="34" spans="1:6" x14ac:dyDescent="0.35">
      <c r="A34" s="68"/>
      <c r="B34" s="69"/>
      <c r="C34" s="68"/>
      <c r="D34" s="68"/>
      <c r="F34" s="68"/>
    </row>
  </sheetData>
  <mergeCells count="15">
    <mergeCell ref="A9:C9"/>
    <mergeCell ref="D9:E9"/>
    <mergeCell ref="A6:C6"/>
    <mergeCell ref="D6:E6"/>
    <mergeCell ref="A7:C7"/>
    <mergeCell ref="D7:E7"/>
    <mergeCell ref="A8:C8"/>
    <mergeCell ref="D8:E8"/>
    <mergeCell ref="A1:I1"/>
    <mergeCell ref="A3:C3"/>
    <mergeCell ref="D3:E3"/>
    <mergeCell ref="A4:C4"/>
    <mergeCell ref="D4:E4"/>
    <mergeCell ref="A5:C5"/>
    <mergeCell ref="D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4804-B1F3-497E-9688-6E0272A274FD}">
  <dimension ref="A1:B52"/>
  <sheetViews>
    <sheetView zoomScale="120" zoomScaleNormal="120" workbookViewId="0"/>
  </sheetViews>
  <sheetFormatPr defaultRowHeight="14.5" x14ac:dyDescent="0.35"/>
  <cols>
    <col min="1" max="1" width="14.1796875" bestFit="1" customWidth="1"/>
    <col min="2" max="2" width="18.81640625" bestFit="1" customWidth="1"/>
  </cols>
  <sheetData>
    <row r="1" spans="1:2" x14ac:dyDescent="0.35">
      <c r="A1" t="s">
        <v>84</v>
      </c>
      <c r="B1" t="s">
        <v>85</v>
      </c>
    </row>
    <row r="2" spans="1:2" x14ac:dyDescent="0.35">
      <c r="A2">
        <v>1</v>
      </c>
      <c r="B2">
        <v>-5.8578200000000002</v>
      </c>
    </row>
    <row r="3" spans="1:2" x14ac:dyDescent="0.35">
      <c r="A3">
        <v>1.258925412</v>
      </c>
      <c r="B3">
        <v>-3.9139300000000001</v>
      </c>
    </row>
    <row r="4" spans="1:2" x14ac:dyDescent="0.35">
      <c r="A4">
        <v>1.584893192</v>
      </c>
      <c r="B4">
        <v>-2.0014099999999999</v>
      </c>
    </row>
    <row r="5" spans="1:2" x14ac:dyDescent="0.35">
      <c r="A5">
        <v>1.995262315</v>
      </c>
      <c r="B5">
        <v>-0.13653799999999999</v>
      </c>
    </row>
    <row r="6" spans="1:2" x14ac:dyDescent="0.35">
      <c r="A6">
        <v>2.5118864319999998</v>
      </c>
      <c r="B6">
        <v>1.6575500000000001</v>
      </c>
    </row>
    <row r="7" spans="1:2" x14ac:dyDescent="0.35">
      <c r="A7">
        <v>3.16227766</v>
      </c>
      <c r="B7">
        <v>3.34998</v>
      </c>
    </row>
    <row r="8" spans="1:2" x14ac:dyDescent="0.35">
      <c r="A8">
        <v>3.9810717059999998</v>
      </c>
      <c r="B8">
        <v>4.9031599999999997</v>
      </c>
    </row>
    <row r="9" spans="1:2" x14ac:dyDescent="0.35">
      <c r="A9">
        <v>5.0118723359999997</v>
      </c>
      <c r="B9">
        <v>6.27752</v>
      </c>
    </row>
    <row r="10" spans="1:2" x14ac:dyDescent="0.35">
      <c r="A10">
        <v>6.3095734449999998</v>
      </c>
      <c r="B10">
        <v>7.4402200000000001</v>
      </c>
    </row>
    <row r="11" spans="1:2" x14ac:dyDescent="0.35">
      <c r="A11">
        <v>7.9432823470000002</v>
      </c>
      <c r="B11">
        <v>8.3752099999999992</v>
      </c>
    </row>
    <row r="12" spans="1:2" x14ac:dyDescent="0.35">
      <c r="A12">
        <v>10</v>
      </c>
      <c r="B12">
        <v>9.0890599999999999</v>
      </c>
    </row>
    <row r="13" spans="1:2" x14ac:dyDescent="0.35">
      <c r="A13">
        <v>12.58925412</v>
      </c>
      <c r="B13">
        <v>9.6084399999999999</v>
      </c>
    </row>
    <row r="14" spans="1:2" x14ac:dyDescent="0.35">
      <c r="A14">
        <v>15.84893192</v>
      </c>
      <c r="B14">
        <v>9.9712999999999994</v>
      </c>
    </row>
    <row r="15" spans="1:2" x14ac:dyDescent="0.35">
      <c r="A15">
        <v>19.952623150000001</v>
      </c>
      <c r="B15">
        <v>10.216900000000001</v>
      </c>
    </row>
    <row r="16" spans="1:2" x14ac:dyDescent="0.35">
      <c r="A16">
        <v>25.11886432</v>
      </c>
      <c r="B16">
        <v>10.379300000000001</v>
      </c>
    </row>
    <row r="17" spans="1:2" x14ac:dyDescent="0.35">
      <c r="A17">
        <v>31.622776600000002</v>
      </c>
      <c r="B17">
        <v>10.484999999999999</v>
      </c>
    </row>
    <row r="18" spans="1:2" x14ac:dyDescent="0.35">
      <c r="A18">
        <v>39.810717060000002</v>
      </c>
      <c r="B18">
        <v>10.553100000000001</v>
      </c>
    </row>
    <row r="19" spans="1:2" x14ac:dyDescent="0.35">
      <c r="A19">
        <v>50.118723359999997</v>
      </c>
      <c r="B19">
        <v>10.5966</v>
      </c>
    </row>
    <row r="20" spans="1:2" x14ac:dyDescent="0.35">
      <c r="A20">
        <v>63.095734450000002</v>
      </c>
      <c r="B20">
        <v>10.6242</v>
      </c>
    </row>
    <row r="21" spans="1:2" x14ac:dyDescent="0.35">
      <c r="A21">
        <v>79.432823470000002</v>
      </c>
      <c r="B21">
        <v>10.6417</v>
      </c>
    </row>
    <row r="22" spans="1:2" x14ac:dyDescent="0.35">
      <c r="A22">
        <v>100</v>
      </c>
      <c r="B22">
        <v>10.652799999999999</v>
      </c>
    </row>
    <row r="23" spans="1:2" x14ac:dyDescent="0.35">
      <c r="A23">
        <v>125.8925412</v>
      </c>
      <c r="B23">
        <v>10.659800000000001</v>
      </c>
    </row>
    <row r="24" spans="1:2" x14ac:dyDescent="0.35">
      <c r="A24">
        <v>158.48931920000001</v>
      </c>
      <c r="B24">
        <v>10.664199999999999</v>
      </c>
    </row>
    <row r="25" spans="1:2" x14ac:dyDescent="0.35">
      <c r="A25">
        <v>199.52623149999999</v>
      </c>
      <c r="B25">
        <v>10.6669</v>
      </c>
    </row>
    <row r="26" spans="1:2" x14ac:dyDescent="0.35">
      <c r="A26">
        <v>251.1886432</v>
      </c>
      <c r="B26">
        <v>10.6686</v>
      </c>
    </row>
    <row r="27" spans="1:2" x14ac:dyDescent="0.35">
      <c r="A27">
        <v>316.22776599999997</v>
      </c>
      <c r="B27">
        <v>10.669499999999999</v>
      </c>
    </row>
    <row r="28" spans="1:2" x14ac:dyDescent="0.35">
      <c r="A28">
        <v>398.10717060000002</v>
      </c>
      <c r="B28">
        <v>10.6698</v>
      </c>
    </row>
    <row r="29" spans="1:2" x14ac:dyDescent="0.35">
      <c r="A29">
        <v>501.18723360000001</v>
      </c>
      <c r="B29">
        <v>10.6698</v>
      </c>
    </row>
    <row r="30" spans="1:2" x14ac:dyDescent="0.35">
      <c r="A30">
        <v>630.95734449999998</v>
      </c>
      <c r="B30">
        <v>10.6692</v>
      </c>
    </row>
    <row r="31" spans="1:2" x14ac:dyDescent="0.35">
      <c r="A31">
        <v>794.32823470000005</v>
      </c>
      <c r="B31">
        <v>10.668100000000001</v>
      </c>
    </row>
    <row r="32" spans="1:2" x14ac:dyDescent="0.35">
      <c r="A32">
        <v>1000</v>
      </c>
      <c r="B32">
        <v>10.6661</v>
      </c>
    </row>
    <row r="33" spans="1:2" x14ac:dyDescent="0.35">
      <c r="A33">
        <v>1258.9254120000001</v>
      </c>
      <c r="B33">
        <v>10.6629</v>
      </c>
    </row>
    <row r="34" spans="1:2" x14ac:dyDescent="0.35">
      <c r="A34">
        <v>1584.893192</v>
      </c>
      <c r="B34">
        <v>10.6577</v>
      </c>
    </row>
    <row r="35" spans="1:2" x14ac:dyDescent="0.35">
      <c r="A35">
        <v>1995.2623149999999</v>
      </c>
      <c r="B35">
        <v>10.6495</v>
      </c>
    </row>
    <row r="36" spans="1:2" x14ac:dyDescent="0.35">
      <c r="A36">
        <v>2511.8864319999998</v>
      </c>
      <c r="B36">
        <v>10.6365</v>
      </c>
    </row>
    <row r="37" spans="1:2" x14ac:dyDescent="0.35">
      <c r="A37">
        <v>3162.2776600000002</v>
      </c>
      <c r="B37">
        <v>10.6159</v>
      </c>
    </row>
    <row r="38" spans="1:2" x14ac:dyDescent="0.35">
      <c r="A38">
        <v>3981.0717060000002</v>
      </c>
      <c r="B38">
        <v>10.583500000000001</v>
      </c>
    </row>
    <row r="39" spans="1:2" x14ac:dyDescent="0.35">
      <c r="A39">
        <v>5011.8723360000004</v>
      </c>
      <c r="B39">
        <v>10.5326</v>
      </c>
    </row>
    <row r="40" spans="1:2" x14ac:dyDescent="0.35">
      <c r="A40">
        <v>6309.573445</v>
      </c>
      <c r="B40">
        <v>10.453099999999999</v>
      </c>
    </row>
    <row r="41" spans="1:2" x14ac:dyDescent="0.35">
      <c r="A41">
        <v>7943.2823470000003</v>
      </c>
      <c r="B41">
        <v>10.3301</v>
      </c>
    </row>
    <row r="42" spans="1:2" x14ac:dyDescent="0.35">
      <c r="A42">
        <v>10000</v>
      </c>
      <c r="B42">
        <v>10.1419</v>
      </c>
    </row>
    <row r="43" spans="1:2" x14ac:dyDescent="0.35">
      <c r="A43">
        <v>12589.25412</v>
      </c>
      <c r="B43">
        <v>9.8594399999999993</v>
      </c>
    </row>
    <row r="44" spans="1:2" x14ac:dyDescent="0.35">
      <c r="A44">
        <v>15848.931920000001</v>
      </c>
      <c r="B44">
        <v>9.4463200000000001</v>
      </c>
    </row>
    <row r="45" spans="1:2" x14ac:dyDescent="0.35">
      <c r="A45">
        <v>19952.623149999999</v>
      </c>
      <c r="B45">
        <v>8.8627599999999997</v>
      </c>
    </row>
    <row r="46" spans="1:2" x14ac:dyDescent="0.35">
      <c r="A46">
        <v>25118.864320000001</v>
      </c>
      <c r="B46">
        <v>8.0736000000000008</v>
      </c>
    </row>
    <row r="47" spans="1:2" x14ac:dyDescent="0.35">
      <c r="A47">
        <v>31622.776600000001</v>
      </c>
      <c r="B47">
        <v>7.0584100000000003</v>
      </c>
    </row>
    <row r="48" spans="1:2" x14ac:dyDescent="0.35">
      <c r="A48">
        <v>39810.717060000003</v>
      </c>
      <c r="B48">
        <v>5.8187499999999996</v>
      </c>
    </row>
    <row r="49" spans="1:2" x14ac:dyDescent="0.35">
      <c r="A49">
        <v>50118.723360000004</v>
      </c>
      <c r="B49">
        <v>4.3775700000000004</v>
      </c>
    </row>
    <row r="50" spans="1:2" x14ac:dyDescent="0.35">
      <c r="A50">
        <v>63095.734450000004</v>
      </c>
      <c r="B50">
        <v>2.7713100000000002</v>
      </c>
    </row>
    <row r="51" spans="1:2" x14ac:dyDescent="0.35">
      <c r="A51">
        <v>79432.823470000003</v>
      </c>
      <c r="B51">
        <v>1.03969</v>
      </c>
    </row>
    <row r="52" spans="1:2" x14ac:dyDescent="0.35">
      <c r="A52">
        <v>100000</v>
      </c>
      <c r="B52">
        <v>-0.78164500000000003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8B74-34D6-479E-9C95-08FD27765FC6}">
  <dimension ref="A1:H36"/>
  <sheetViews>
    <sheetView zoomScale="110" zoomScaleNormal="110" workbookViewId="0">
      <selection sqref="A1:H1"/>
    </sheetView>
  </sheetViews>
  <sheetFormatPr defaultRowHeight="14.5" x14ac:dyDescent="0.35"/>
  <cols>
    <col min="1" max="1" width="18.7265625" bestFit="1" customWidth="1"/>
    <col min="2" max="2" width="9.7265625" bestFit="1" customWidth="1"/>
    <col min="3" max="3" width="10.81640625" bestFit="1" customWidth="1"/>
    <col min="4" max="4" width="11.54296875" customWidth="1"/>
    <col min="5" max="5" width="8.1796875" bestFit="1" customWidth="1"/>
    <col min="6" max="6" width="10.81640625" bestFit="1" customWidth="1"/>
    <col min="7" max="7" width="5.453125" bestFit="1" customWidth="1"/>
    <col min="8" max="8" width="10.453125" bestFit="1" customWidth="1"/>
  </cols>
  <sheetData>
    <row r="1" spans="1:8" x14ac:dyDescent="0.35">
      <c r="A1" s="40" t="s">
        <v>159</v>
      </c>
      <c r="B1" s="41"/>
      <c r="C1" s="41"/>
      <c r="D1" s="41"/>
      <c r="E1" s="41"/>
      <c r="F1" s="41"/>
      <c r="G1" s="41"/>
      <c r="H1" s="41"/>
    </row>
    <row r="3" spans="1:8" x14ac:dyDescent="0.35">
      <c r="A3" s="42"/>
      <c r="B3" s="41"/>
      <c r="C3" s="41"/>
      <c r="D3" s="41"/>
      <c r="E3" s="41"/>
      <c r="F3" s="41"/>
      <c r="G3" s="41"/>
      <c r="H3" s="41"/>
    </row>
    <row r="4" spans="1:8" ht="29" x14ac:dyDescent="0.35">
      <c r="A4" s="16" t="s">
        <v>86</v>
      </c>
      <c r="B4" s="17">
        <v>6</v>
      </c>
    </row>
    <row r="5" spans="1:8" x14ac:dyDescent="0.35">
      <c r="A5" s="16" t="s">
        <v>87</v>
      </c>
      <c r="B5" s="17">
        <f>B4-3</f>
        <v>3</v>
      </c>
    </row>
    <row r="6" spans="1:8" ht="30.75" customHeight="1" x14ac:dyDescent="0.35">
      <c r="A6" s="16" t="s">
        <v>88</v>
      </c>
      <c r="B6" s="18">
        <v>10</v>
      </c>
    </row>
    <row r="9" spans="1:8" ht="24" customHeight="1" x14ac:dyDescent="0.35">
      <c r="A9" s="19" t="s">
        <v>84</v>
      </c>
      <c r="B9" s="19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19" t="s">
        <v>95</v>
      </c>
    </row>
    <row r="10" spans="1:8" x14ac:dyDescent="0.35">
      <c r="A10" s="20">
        <v>1</v>
      </c>
      <c r="B10" s="21">
        <v>0.34</v>
      </c>
      <c r="C10" s="21">
        <v>0.17599999999999999</v>
      </c>
      <c r="D10" s="22">
        <f t="shared" ref="D10:D30" si="0">IF(OR(B10="",C10=""),"",C10/B10)</f>
        <v>0.51764705882352935</v>
      </c>
      <c r="E10" s="22">
        <f t="shared" ref="E10:E30" si="1">IF(D10="","",20*LOG10(ABS(D10)))</f>
        <v>-5.7193249845621077</v>
      </c>
      <c r="F10" s="23" t="str">
        <f t="shared" ref="F10:F30" si="2">IF(E10="","",IF(E10&lt;=$B$5,"YES","NO"))</f>
        <v>YES</v>
      </c>
      <c r="G10" s="24"/>
      <c r="H10" s="23"/>
    </row>
    <row r="11" spans="1:8" x14ac:dyDescent="0.35">
      <c r="A11" s="20">
        <v>3</v>
      </c>
      <c r="B11" s="21">
        <v>0.34</v>
      </c>
      <c r="C11" s="21">
        <v>0.47599999999999998</v>
      </c>
      <c r="D11" s="22">
        <f t="shared" si="0"/>
        <v>1.4</v>
      </c>
      <c r="E11" s="22">
        <f t="shared" si="1"/>
        <v>2.92256071356476</v>
      </c>
      <c r="F11" s="23" t="str">
        <f t="shared" si="2"/>
        <v>YES</v>
      </c>
      <c r="G11" s="24"/>
      <c r="H11" s="23"/>
    </row>
    <row r="12" spans="1:8" x14ac:dyDescent="0.35">
      <c r="A12" s="20">
        <v>5</v>
      </c>
      <c r="B12" s="21">
        <v>0.34</v>
      </c>
      <c r="C12" s="21">
        <v>0.68799999999999994</v>
      </c>
      <c r="D12" s="22">
        <f t="shared" si="0"/>
        <v>2.0235294117647054</v>
      </c>
      <c r="E12" s="22">
        <f t="shared" si="1"/>
        <v>6.1221904238651215</v>
      </c>
      <c r="F12" s="23" t="str">
        <f t="shared" si="2"/>
        <v>NO</v>
      </c>
      <c r="G12" s="24"/>
      <c r="H12" s="23"/>
    </row>
    <row r="13" spans="1:8" x14ac:dyDescent="0.35">
      <c r="A13" s="20">
        <v>10</v>
      </c>
      <c r="B13" s="21">
        <v>0.34</v>
      </c>
      <c r="C13" s="21">
        <v>0.94399999999999995</v>
      </c>
      <c r="D13" s="22">
        <f t="shared" si="0"/>
        <v>2.7764705882352936</v>
      </c>
      <c r="E13" s="22">
        <f t="shared" si="1"/>
        <v>8.8698615451162759</v>
      </c>
      <c r="F13" s="23" t="str">
        <f t="shared" si="2"/>
        <v>NO</v>
      </c>
      <c r="G13" s="24"/>
      <c r="H13" s="23"/>
    </row>
    <row r="14" spans="1:8" x14ac:dyDescent="0.35">
      <c r="A14" s="20">
        <v>30</v>
      </c>
      <c r="B14" s="21">
        <v>0.34</v>
      </c>
      <c r="C14" s="21">
        <v>1.1040000000000001</v>
      </c>
      <c r="D14" s="22">
        <f t="shared" si="0"/>
        <v>3.2470588235294118</v>
      </c>
      <c r="E14" s="22">
        <f t="shared" si="1"/>
        <v>10.229803127018499</v>
      </c>
      <c r="F14" s="23" t="str">
        <f t="shared" si="2"/>
        <v>NO</v>
      </c>
      <c r="G14" s="24"/>
      <c r="H14" s="23"/>
    </row>
    <row r="15" spans="1:8" x14ac:dyDescent="0.35">
      <c r="A15" s="20">
        <v>50</v>
      </c>
      <c r="B15" s="21">
        <v>0.33600000000000002</v>
      </c>
      <c r="C15" s="21">
        <v>1.1200000000000001</v>
      </c>
      <c r="D15" s="22">
        <f t="shared" si="0"/>
        <v>3.3333333333333335</v>
      </c>
      <c r="E15" s="22">
        <f t="shared" si="1"/>
        <v>10.457574905606752</v>
      </c>
      <c r="F15" s="23" t="str">
        <f t="shared" si="2"/>
        <v>NO</v>
      </c>
      <c r="G15" s="24"/>
      <c r="H15" s="23"/>
    </row>
    <row r="16" spans="1:8" x14ac:dyDescent="0.35">
      <c r="A16" s="20">
        <v>100</v>
      </c>
      <c r="B16" s="21">
        <v>0.33600000000000002</v>
      </c>
      <c r="C16" s="21">
        <v>1.1359999999999999</v>
      </c>
      <c r="D16" s="22">
        <f t="shared" si="0"/>
        <v>3.3809523809523805</v>
      </c>
      <c r="E16" s="22">
        <f t="shared" si="1"/>
        <v>10.580781079703119</v>
      </c>
      <c r="F16" s="23" t="str">
        <f t="shared" si="2"/>
        <v>NO</v>
      </c>
      <c r="G16" s="24"/>
      <c r="H16" s="23"/>
    </row>
    <row r="17" spans="1:8" x14ac:dyDescent="0.35">
      <c r="A17" s="20">
        <v>300</v>
      </c>
      <c r="B17" s="21">
        <v>0.33600000000000002</v>
      </c>
      <c r="C17" s="21">
        <v>1.1359999999999999</v>
      </c>
      <c r="D17" s="22">
        <f t="shared" si="0"/>
        <v>3.3809523809523805</v>
      </c>
      <c r="E17" s="22">
        <f t="shared" si="1"/>
        <v>10.580781079703119</v>
      </c>
      <c r="F17" s="23" t="str">
        <f t="shared" si="2"/>
        <v>NO</v>
      </c>
      <c r="G17" s="24"/>
      <c r="H17" s="23"/>
    </row>
    <row r="18" spans="1:8" x14ac:dyDescent="0.35">
      <c r="A18" s="20">
        <v>500</v>
      </c>
      <c r="B18" s="21">
        <v>0.33600000000000002</v>
      </c>
      <c r="C18" s="21">
        <v>1.1359999999999999</v>
      </c>
      <c r="D18" s="22">
        <f t="shared" si="0"/>
        <v>3.3809523809523805</v>
      </c>
      <c r="E18" s="22">
        <f t="shared" si="1"/>
        <v>10.580781079703119</v>
      </c>
      <c r="F18" s="23" t="str">
        <f t="shared" si="2"/>
        <v>NO</v>
      </c>
      <c r="G18" s="24"/>
      <c r="H18" s="23"/>
    </row>
    <row r="19" spans="1:8" x14ac:dyDescent="0.35">
      <c r="A19" s="20">
        <v>1000</v>
      </c>
      <c r="B19" s="25">
        <v>0.33600000000000002</v>
      </c>
      <c r="C19" s="25">
        <v>1.1279999999999999</v>
      </c>
      <c r="D19" s="22">
        <f t="shared" si="0"/>
        <v>3.3571428571428568</v>
      </c>
      <c r="E19" s="22">
        <f t="shared" si="1"/>
        <v>10.519396445149587</v>
      </c>
      <c r="F19" s="23" t="str">
        <f t="shared" si="2"/>
        <v>NO</v>
      </c>
      <c r="G19" s="24"/>
      <c r="H19" s="23"/>
    </row>
    <row r="20" spans="1:8" x14ac:dyDescent="0.35">
      <c r="A20" s="20">
        <v>3000</v>
      </c>
      <c r="B20" s="21">
        <v>0.33600000000000002</v>
      </c>
      <c r="C20" s="21">
        <v>1.1279999999999999</v>
      </c>
      <c r="D20" s="22">
        <f t="shared" si="0"/>
        <v>3.3571428571428568</v>
      </c>
      <c r="E20" s="22">
        <f t="shared" si="1"/>
        <v>10.519396445149587</v>
      </c>
      <c r="F20" s="23" t="str">
        <f t="shared" si="2"/>
        <v>NO</v>
      </c>
      <c r="G20" s="24"/>
      <c r="H20" s="23"/>
    </row>
    <row r="21" spans="1:8" x14ac:dyDescent="0.35">
      <c r="A21" s="20">
        <v>5000</v>
      </c>
      <c r="B21" s="21">
        <v>0.33600000000000002</v>
      </c>
      <c r="C21" s="21">
        <v>1.1120000000000001</v>
      </c>
      <c r="D21" s="22">
        <f t="shared" si="0"/>
        <v>3.3095238095238098</v>
      </c>
      <c r="E21" s="22">
        <f t="shared" si="1"/>
        <v>10.395310197123893</v>
      </c>
      <c r="F21" s="23" t="str">
        <f t="shared" si="2"/>
        <v>NO</v>
      </c>
      <c r="G21" s="24"/>
      <c r="H21" s="23"/>
    </row>
    <row r="22" spans="1:8" x14ac:dyDescent="0.35">
      <c r="A22" s="20">
        <v>10000</v>
      </c>
      <c r="B22" s="26">
        <v>0.33200000000000002</v>
      </c>
      <c r="C22" s="26">
        <v>1.048</v>
      </c>
      <c r="D22" s="27">
        <f t="shared" si="0"/>
        <v>3.1566265060240966</v>
      </c>
      <c r="E22" s="27">
        <f t="shared" si="1"/>
        <v>9.984463978873432</v>
      </c>
      <c r="F22" s="28" t="str">
        <f t="shared" si="2"/>
        <v>NO</v>
      </c>
      <c r="G22" s="28"/>
      <c r="H22" s="28"/>
    </row>
    <row r="23" spans="1:8" x14ac:dyDescent="0.35">
      <c r="A23" s="20">
        <v>20000</v>
      </c>
      <c r="B23" s="21">
        <v>0.33600000000000002</v>
      </c>
      <c r="C23" s="21">
        <v>0.90400000000000003</v>
      </c>
      <c r="D23" s="22">
        <f t="shared" si="0"/>
        <v>2.6904761904761902</v>
      </c>
      <c r="E23" s="22">
        <f t="shared" si="1"/>
        <v>8.5965830617103851</v>
      </c>
      <c r="F23" s="23" t="str">
        <f t="shared" si="2"/>
        <v>NO</v>
      </c>
      <c r="G23" s="24"/>
      <c r="H23" s="23"/>
    </row>
    <row r="24" spans="1:8" x14ac:dyDescent="0.35">
      <c r="A24" s="20">
        <v>30000</v>
      </c>
      <c r="B24" s="21">
        <v>0.33800000000000002</v>
      </c>
      <c r="C24" s="21">
        <v>0.76</v>
      </c>
      <c r="D24" s="22">
        <f t="shared" si="0"/>
        <v>2.2485207100591715</v>
      </c>
      <c r="E24" s="22">
        <f t="shared" si="1"/>
        <v>7.0379378400627326</v>
      </c>
      <c r="F24" s="23" t="str">
        <f t="shared" si="2"/>
        <v>NO</v>
      </c>
      <c r="G24" s="24"/>
      <c r="H24" s="23"/>
    </row>
    <row r="25" spans="1:8" x14ac:dyDescent="0.35">
      <c r="A25" s="20">
        <v>50000</v>
      </c>
      <c r="B25" s="21">
        <v>0.34</v>
      </c>
      <c r="C25" s="21">
        <v>0.54800000000000004</v>
      </c>
      <c r="D25" s="22">
        <f t="shared" si="0"/>
        <v>1.611764705882353</v>
      </c>
      <c r="E25" s="22">
        <f t="shared" si="1"/>
        <v>4.146032828842281</v>
      </c>
      <c r="F25" s="23" t="str">
        <f t="shared" si="2"/>
        <v>NO</v>
      </c>
      <c r="G25" s="24"/>
      <c r="H25" s="23"/>
    </row>
    <row r="26" spans="1:8" x14ac:dyDescent="0.35">
      <c r="A26" s="20">
        <v>100000</v>
      </c>
      <c r="B26" s="21">
        <v>0.34200000000000003</v>
      </c>
      <c r="C26" s="21">
        <v>0.308</v>
      </c>
      <c r="D26" s="22">
        <f t="shared" si="0"/>
        <v>0.90058479532163738</v>
      </c>
      <c r="E26" s="22">
        <f t="shared" si="1"/>
        <v>-0.90950779111381597</v>
      </c>
      <c r="F26" s="23" t="str">
        <f t="shared" si="2"/>
        <v>YES</v>
      </c>
      <c r="G26" s="24"/>
      <c r="H26" s="23"/>
    </row>
    <row r="27" spans="1:8" x14ac:dyDescent="0.35">
      <c r="A27" s="20">
        <v>200000</v>
      </c>
      <c r="B27" s="21">
        <v>0.34399999999999997</v>
      </c>
      <c r="C27" s="21">
        <v>0.16400000000000001</v>
      </c>
      <c r="D27" s="22">
        <f t="shared" si="0"/>
        <v>0.4767441860465117</v>
      </c>
      <c r="E27" s="22">
        <f t="shared" si="1"/>
        <v>-6.4342918904766435</v>
      </c>
      <c r="F27" s="23" t="str">
        <f t="shared" si="2"/>
        <v>YES</v>
      </c>
      <c r="G27" s="24"/>
      <c r="H27" s="23"/>
    </row>
    <row r="28" spans="1:8" x14ac:dyDescent="0.35">
      <c r="A28" s="20">
        <v>300000</v>
      </c>
      <c r="B28" s="21">
        <v>0.34599999999999997</v>
      </c>
      <c r="C28" s="21">
        <v>0.112</v>
      </c>
      <c r="D28" s="22">
        <f t="shared" si="0"/>
        <v>0.32369942196531792</v>
      </c>
      <c r="E28" s="22">
        <f t="shared" si="1"/>
        <v>-9.7971615224518995</v>
      </c>
      <c r="F28" s="23" t="str">
        <f t="shared" si="2"/>
        <v>YES</v>
      </c>
      <c r="G28" s="24"/>
      <c r="H28" s="23"/>
    </row>
    <row r="29" spans="1:8" x14ac:dyDescent="0.35">
      <c r="A29" s="20">
        <v>500000</v>
      </c>
      <c r="B29" s="21">
        <v>0.34599999999999997</v>
      </c>
      <c r="C29" s="21">
        <v>7.1999999999999995E-2</v>
      </c>
      <c r="D29" s="22">
        <f t="shared" si="0"/>
        <v>0.20809248554913296</v>
      </c>
      <c r="E29" s="22">
        <f t="shared" si="1"/>
        <v>-13.634872047230163</v>
      </c>
      <c r="F29" s="23" t="str">
        <f t="shared" si="2"/>
        <v>YES</v>
      </c>
      <c r="G29" s="24"/>
      <c r="H29" s="23"/>
    </row>
    <row r="30" spans="1:8" x14ac:dyDescent="0.35">
      <c r="A30" s="20">
        <v>1000000</v>
      </c>
      <c r="B30" s="21">
        <v>0.34799999999999998</v>
      </c>
      <c r="C30" s="21">
        <v>4.3999999999999997E-2</v>
      </c>
      <c r="D30" s="22">
        <f t="shared" si="0"/>
        <v>0.12643678160919541</v>
      </c>
      <c r="E30" s="22">
        <f t="shared" si="1"/>
        <v>-17.962531349207868</v>
      </c>
      <c r="F30" s="23" t="str">
        <f t="shared" si="2"/>
        <v>YES</v>
      </c>
      <c r="G30" s="24"/>
      <c r="H30" s="23"/>
    </row>
    <row r="33" spans="1:2" x14ac:dyDescent="0.35">
      <c r="A33" s="29" t="s">
        <v>96</v>
      </c>
    </row>
    <row r="34" spans="1:2" x14ac:dyDescent="0.35">
      <c r="A34" s="16" t="s">
        <v>97</v>
      </c>
      <c r="B34" s="18"/>
    </row>
    <row r="35" spans="1:2" ht="29" x14ac:dyDescent="0.35">
      <c r="A35" s="16" t="s">
        <v>98</v>
      </c>
      <c r="B35" s="18">
        <f>IF(B20="","",$B$6*B20)</f>
        <v>3.3600000000000003</v>
      </c>
    </row>
    <row r="36" spans="1:2" ht="116" x14ac:dyDescent="0.35">
      <c r="A36" s="16" t="s">
        <v>99</v>
      </c>
      <c r="B36" s="16" t="s">
        <v>100</v>
      </c>
    </row>
  </sheetData>
  <mergeCells count="2">
    <mergeCell ref="A1:H1"/>
    <mergeCell ref="A3:H3"/>
  </mergeCells>
  <pageMargins left="0.75" right="0.75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0017-36E9-4B38-B4D2-F44B8AE7929F}">
  <dimension ref="A1:W52"/>
  <sheetViews>
    <sheetView zoomScale="110" zoomScaleNormal="110" workbookViewId="0"/>
  </sheetViews>
  <sheetFormatPr defaultRowHeight="14.5" x14ac:dyDescent="0.35"/>
  <cols>
    <col min="1" max="1" width="14.1796875" bestFit="1" customWidth="1"/>
    <col min="2" max="2" width="18.81640625" bestFit="1" customWidth="1"/>
    <col min="13" max="13" width="14.453125" customWidth="1"/>
    <col min="14" max="14" width="9.453125" customWidth="1"/>
    <col min="15" max="15" width="10.7265625" customWidth="1"/>
    <col min="16" max="16" width="17.1796875" customWidth="1"/>
    <col min="17" max="17" width="14.81640625" customWidth="1"/>
    <col min="23" max="23" width="25.54296875" bestFit="1" customWidth="1"/>
  </cols>
  <sheetData>
    <row r="1" spans="1:17" ht="29" x14ac:dyDescent="0.35">
      <c r="A1" t="s">
        <v>84</v>
      </c>
      <c r="B1" t="s">
        <v>160</v>
      </c>
      <c r="M1" s="19" t="s">
        <v>84</v>
      </c>
      <c r="N1" s="19" t="s">
        <v>89</v>
      </c>
      <c r="O1" s="19" t="s">
        <v>90</v>
      </c>
      <c r="P1" s="19" t="s">
        <v>91</v>
      </c>
      <c r="Q1" s="19" t="s">
        <v>175</v>
      </c>
    </row>
    <row r="2" spans="1:17" x14ac:dyDescent="0.35">
      <c r="A2">
        <v>1</v>
      </c>
      <c r="B2">
        <v>-5.8578200000000002</v>
      </c>
      <c r="M2" s="20">
        <v>1</v>
      </c>
      <c r="N2" s="21">
        <v>0.34</v>
      </c>
      <c r="O2" s="21">
        <v>0.17599999999999999</v>
      </c>
      <c r="P2" s="22">
        <f t="shared" ref="P2:P23" si="0">IF(OR(N2="",O2=""),"",O2/N2)</f>
        <v>0.51764705882352935</v>
      </c>
      <c r="Q2" s="22">
        <f t="shared" ref="Q2:Q23" si="1">IF(P2="","",20*LOG10(ABS(P2)))</f>
        <v>-5.7193249845621077</v>
      </c>
    </row>
    <row r="3" spans="1:17" x14ac:dyDescent="0.35">
      <c r="A3">
        <v>1.258925412</v>
      </c>
      <c r="B3">
        <v>-3.9139300000000001</v>
      </c>
      <c r="M3" s="20">
        <v>3</v>
      </c>
      <c r="N3" s="21">
        <v>0.34</v>
      </c>
      <c r="O3" s="21">
        <v>0.47599999999999998</v>
      </c>
      <c r="P3" s="22">
        <f t="shared" si="0"/>
        <v>1.4</v>
      </c>
      <c r="Q3" s="22">
        <f t="shared" si="1"/>
        <v>2.92256071356476</v>
      </c>
    </row>
    <row r="4" spans="1:17" x14ac:dyDescent="0.35">
      <c r="A4">
        <v>1.584893192</v>
      </c>
      <c r="B4">
        <v>-2.0014099999999999</v>
      </c>
      <c r="M4" s="20">
        <v>5</v>
      </c>
      <c r="N4" s="21">
        <v>0.34</v>
      </c>
      <c r="O4" s="21">
        <v>0.68799999999999994</v>
      </c>
      <c r="P4" s="22">
        <f t="shared" si="0"/>
        <v>2.0235294117647054</v>
      </c>
      <c r="Q4" s="22">
        <f t="shared" si="1"/>
        <v>6.1221904238651215</v>
      </c>
    </row>
    <row r="5" spans="1:17" x14ac:dyDescent="0.35">
      <c r="A5">
        <v>1.995262315</v>
      </c>
      <c r="B5">
        <v>-0.13653799999999999</v>
      </c>
      <c r="M5" s="20">
        <v>10</v>
      </c>
      <c r="N5" s="21">
        <v>0.34</v>
      </c>
      <c r="O5" s="21">
        <v>0.94399999999999995</v>
      </c>
      <c r="P5" s="22">
        <f t="shared" si="0"/>
        <v>2.7764705882352936</v>
      </c>
      <c r="Q5" s="22">
        <f t="shared" si="1"/>
        <v>8.8698615451162759</v>
      </c>
    </row>
    <row r="6" spans="1:17" x14ac:dyDescent="0.35">
      <c r="A6">
        <v>2.5118864319999998</v>
      </c>
      <c r="B6">
        <v>1.6575500000000001</v>
      </c>
      <c r="M6" s="20">
        <v>30</v>
      </c>
      <c r="N6" s="21">
        <v>0.34</v>
      </c>
      <c r="O6" s="21">
        <v>1.1040000000000001</v>
      </c>
      <c r="P6" s="22">
        <f t="shared" si="0"/>
        <v>3.2470588235294118</v>
      </c>
      <c r="Q6" s="22">
        <f t="shared" si="1"/>
        <v>10.229803127018499</v>
      </c>
    </row>
    <row r="7" spans="1:17" x14ac:dyDescent="0.35">
      <c r="A7">
        <v>3.16227766</v>
      </c>
      <c r="B7">
        <v>3.34998</v>
      </c>
      <c r="M7" s="20">
        <v>50</v>
      </c>
      <c r="N7" s="21">
        <v>0.33600000000000002</v>
      </c>
      <c r="O7" s="21">
        <v>1.1200000000000001</v>
      </c>
      <c r="P7" s="22">
        <f t="shared" si="0"/>
        <v>3.3333333333333335</v>
      </c>
      <c r="Q7" s="22">
        <f t="shared" si="1"/>
        <v>10.457574905606752</v>
      </c>
    </row>
    <row r="8" spans="1:17" x14ac:dyDescent="0.35">
      <c r="A8">
        <v>3.9810717059999998</v>
      </c>
      <c r="B8">
        <v>4.9031599999999997</v>
      </c>
      <c r="M8" s="20">
        <v>100</v>
      </c>
      <c r="N8" s="21">
        <v>0.33600000000000002</v>
      </c>
      <c r="O8" s="21">
        <v>1.1359999999999999</v>
      </c>
      <c r="P8" s="22">
        <f t="shared" si="0"/>
        <v>3.3809523809523805</v>
      </c>
      <c r="Q8" s="22">
        <f t="shared" si="1"/>
        <v>10.580781079703119</v>
      </c>
    </row>
    <row r="9" spans="1:17" x14ac:dyDescent="0.35">
      <c r="A9">
        <v>5.0118723359999997</v>
      </c>
      <c r="B9">
        <v>6.27752</v>
      </c>
      <c r="M9" s="20">
        <v>300</v>
      </c>
      <c r="N9" s="21">
        <v>0.33600000000000002</v>
      </c>
      <c r="O9" s="21">
        <v>1.1359999999999999</v>
      </c>
      <c r="P9" s="22">
        <f t="shared" si="0"/>
        <v>3.3809523809523805</v>
      </c>
      <c r="Q9" s="22">
        <f t="shared" si="1"/>
        <v>10.580781079703119</v>
      </c>
    </row>
    <row r="10" spans="1:17" x14ac:dyDescent="0.35">
      <c r="A10">
        <v>6.3095734449999998</v>
      </c>
      <c r="B10">
        <v>7.4402200000000001</v>
      </c>
      <c r="M10" s="20">
        <v>440</v>
      </c>
      <c r="N10" s="31">
        <v>0.872</v>
      </c>
      <c r="O10" s="31">
        <v>2.98</v>
      </c>
      <c r="P10" s="22">
        <f t="shared" si="0"/>
        <v>3.4174311926605503</v>
      </c>
      <c r="Q10" s="22">
        <f t="shared" si="1"/>
        <v>10.673995582873758</v>
      </c>
    </row>
    <row r="11" spans="1:17" x14ac:dyDescent="0.35">
      <c r="A11">
        <v>7.9432823470000002</v>
      </c>
      <c r="B11">
        <v>8.3752099999999992</v>
      </c>
      <c r="M11" s="20">
        <v>500</v>
      </c>
      <c r="N11" s="21">
        <v>0.33600000000000002</v>
      </c>
      <c r="O11" s="21">
        <v>1.1359999999999999</v>
      </c>
      <c r="P11" s="22">
        <f t="shared" si="0"/>
        <v>3.3809523809523805</v>
      </c>
      <c r="Q11" s="22">
        <f t="shared" si="1"/>
        <v>10.580781079703119</v>
      </c>
    </row>
    <row r="12" spans="1:17" x14ac:dyDescent="0.35">
      <c r="A12">
        <v>10</v>
      </c>
      <c r="B12">
        <v>9.0890599999999999</v>
      </c>
      <c r="M12" s="20">
        <v>1000</v>
      </c>
      <c r="N12" s="25">
        <v>0.33600000000000002</v>
      </c>
      <c r="O12" s="25">
        <v>1.1279999999999999</v>
      </c>
      <c r="P12" s="22">
        <f t="shared" si="0"/>
        <v>3.3571428571428568</v>
      </c>
      <c r="Q12" s="22">
        <f t="shared" si="1"/>
        <v>10.519396445149587</v>
      </c>
    </row>
    <row r="13" spans="1:17" x14ac:dyDescent="0.35">
      <c r="A13">
        <v>12.58925412</v>
      </c>
      <c r="B13">
        <v>9.6084399999999999</v>
      </c>
      <c r="M13" s="20">
        <v>3000</v>
      </c>
      <c r="N13" s="21">
        <v>0.33600000000000002</v>
      </c>
      <c r="O13" s="21">
        <v>1.1279999999999999</v>
      </c>
      <c r="P13" s="22">
        <f t="shared" si="0"/>
        <v>3.3571428571428568</v>
      </c>
      <c r="Q13" s="22">
        <f t="shared" si="1"/>
        <v>10.519396445149587</v>
      </c>
    </row>
    <row r="14" spans="1:17" x14ac:dyDescent="0.35">
      <c r="A14">
        <v>15.84893192</v>
      </c>
      <c r="B14">
        <v>9.9712999999999994</v>
      </c>
      <c r="M14" s="20">
        <v>5000</v>
      </c>
      <c r="N14" s="21">
        <v>0.33600000000000002</v>
      </c>
      <c r="O14" s="21">
        <v>1.1120000000000001</v>
      </c>
      <c r="P14" s="22">
        <f t="shared" si="0"/>
        <v>3.3095238095238098</v>
      </c>
      <c r="Q14" s="22">
        <f t="shared" si="1"/>
        <v>10.395310197123893</v>
      </c>
    </row>
    <row r="15" spans="1:17" x14ac:dyDescent="0.35">
      <c r="A15">
        <v>19.952623150000001</v>
      </c>
      <c r="B15">
        <v>10.216900000000001</v>
      </c>
      <c r="M15" s="20">
        <v>10000</v>
      </c>
      <c r="N15" s="26">
        <v>0.33200000000000002</v>
      </c>
      <c r="O15" s="26">
        <v>1.048</v>
      </c>
      <c r="P15" s="22">
        <f t="shared" si="0"/>
        <v>3.1566265060240966</v>
      </c>
      <c r="Q15" s="22">
        <f t="shared" si="1"/>
        <v>9.984463978873432</v>
      </c>
    </row>
    <row r="16" spans="1:17" x14ac:dyDescent="0.35">
      <c r="A16">
        <v>25.11886432</v>
      </c>
      <c r="B16">
        <v>10.379300000000001</v>
      </c>
      <c r="M16" s="20">
        <v>20000</v>
      </c>
      <c r="N16" s="21">
        <v>0.33600000000000002</v>
      </c>
      <c r="O16" s="21">
        <v>0.90400000000000003</v>
      </c>
      <c r="P16" s="22">
        <f t="shared" si="0"/>
        <v>2.6904761904761902</v>
      </c>
      <c r="Q16" s="22">
        <f t="shared" si="1"/>
        <v>8.5965830617103851</v>
      </c>
    </row>
    <row r="17" spans="1:23" x14ac:dyDescent="0.35">
      <c r="A17">
        <v>31.622776600000002</v>
      </c>
      <c r="B17">
        <v>10.484999999999999</v>
      </c>
      <c r="M17" s="20">
        <v>30000</v>
      </c>
      <c r="N17" s="21">
        <v>0.33800000000000002</v>
      </c>
      <c r="O17" s="21">
        <v>0.76</v>
      </c>
      <c r="P17" s="22">
        <f t="shared" si="0"/>
        <v>2.2485207100591715</v>
      </c>
      <c r="Q17" s="22">
        <f t="shared" si="1"/>
        <v>7.0379378400627326</v>
      </c>
    </row>
    <row r="18" spans="1:23" x14ac:dyDescent="0.35">
      <c r="A18">
        <v>39.810717060000002</v>
      </c>
      <c r="B18">
        <v>10.553100000000001</v>
      </c>
      <c r="M18" s="20">
        <v>50000</v>
      </c>
      <c r="N18" s="21">
        <v>0.34</v>
      </c>
      <c r="O18" s="21">
        <v>0.54800000000000004</v>
      </c>
      <c r="P18" s="22">
        <f t="shared" si="0"/>
        <v>1.611764705882353</v>
      </c>
      <c r="Q18" s="22">
        <f t="shared" si="1"/>
        <v>4.146032828842281</v>
      </c>
    </row>
    <row r="19" spans="1:23" x14ac:dyDescent="0.35">
      <c r="A19">
        <v>50.118723359999997</v>
      </c>
      <c r="B19">
        <v>10.5966</v>
      </c>
      <c r="M19" s="20">
        <v>100000</v>
      </c>
      <c r="N19" s="21">
        <v>0.34200000000000003</v>
      </c>
      <c r="O19" s="21">
        <v>0.308</v>
      </c>
      <c r="P19" s="22">
        <f t="shared" si="0"/>
        <v>0.90058479532163738</v>
      </c>
      <c r="Q19" s="22">
        <f t="shared" si="1"/>
        <v>-0.90950779111381597</v>
      </c>
    </row>
    <row r="20" spans="1:23" x14ac:dyDescent="0.35">
      <c r="A20">
        <v>63.095734450000002</v>
      </c>
      <c r="B20">
        <v>10.6242</v>
      </c>
      <c r="M20" s="20">
        <v>200000</v>
      </c>
      <c r="N20" s="21">
        <v>0.34399999999999997</v>
      </c>
      <c r="O20" s="21">
        <v>0.16400000000000001</v>
      </c>
      <c r="P20" s="22">
        <f t="shared" si="0"/>
        <v>0.4767441860465117</v>
      </c>
      <c r="Q20" s="22">
        <f t="shared" si="1"/>
        <v>-6.4342918904766435</v>
      </c>
    </row>
    <row r="21" spans="1:23" x14ac:dyDescent="0.35">
      <c r="A21">
        <v>79.432823470000002</v>
      </c>
      <c r="B21">
        <v>10.6417</v>
      </c>
      <c r="M21" s="20">
        <v>300000</v>
      </c>
      <c r="N21" s="21">
        <v>0.34599999999999997</v>
      </c>
      <c r="O21" s="21">
        <v>0.112</v>
      </c>
      <c r="P21" s="22">
        <f t="shared" si="0"/>
        <v>0.32369942196531792</v>
      </c>
      <c r="Q21" s="22">
        <f t="shared" si="1"/>
        <v>-9.7971615224518995</v>
      </c>
    </row>
    <row r="22" spans="1:23" x14ac:dyDescent="0.35">
      <c r="A22">
        <v>100</v>
      </c>
      <c r="B22">
        <v>10.652799999999999</v>
      </c>
      <c r="M22" s="20">
        <v>500000</v>
      </c>
      <c r="N22" s="21">
        <v>0.34599999999999997</v>
      </c>
      <c r="O22" s="21">
        <v>7.1999999999999995E-2</v>
      </c>
      <c r="P22" s="22">
        <f t="shared" si="0"/>
        <v>0.20809248554913296</v>
      </c>
      <c r="Q22" s="22">
        <f t="shared" si="1"/>
        <v>-13.634872047230163</v>
      </c>
    </row>
    <row r="23" spans="1:23" x14ac:dyDescent="0.35">
      <c r="A23">
        <v>125.8925412</v>
      </c>
      <c r="B23">
        <v>10.659800000000001</v>
      </c>
      <c r="M23" s="20">
        <v>1000000</v>
      </c>
      <c r="N23" s="21">
        <v>0.34799999999999998</v>
      </c>
      <c r="O23" s="21">
        <v>4.3999999999999997E-2</v>
      </c>
      <c r="P23" s="22">
        <f t="shared" si="0"/>
        <v>0.12643678160919541</v>
      </c>
      <c r="Q23" s="22">
        <f t="shared" si="1"/>
        <v>-17.962531349207868</v>
      </c>
    </row>
    <row r="24" spans="1:23" x14ac:dyDescent="0.35">
      <c r="A24">
        <v>158.48931920000001</v>
      </c>
      <c r="B24">
        <v>10.664199999999999</v>
      </c>
    </row>
    <row r="25" spans="1:23" x14ac:dyDescent="0.35">
      <c r="A25">
        <v>199.52623149999999</v>
      </c>
      <c r="B25">
        <v>10.6669</v>
      </c>
    </row>
    <row r="26" spans="1:23" x14ac:dyDescent="0.35">
      <c r="A26">
        <v>251.1886432</v>
      </c>
      <c r="B26">
        <v>10.6686</v>
      </c>
    </row>
    <row r="27" spans="1:23" x14ac:dyDescent="0.35">
      <c r="A27">
        <v>316.22776599999997</v>
      </c>
      <c r="B27">
        <v>10.669499999999999</v>
      </c>
    </row>
    <row r="28" spans="1:23" x14ac:dyDescent="0.35">
      <c r="A28">
        <v>398.10717060000002</v>
      </c>
      <c r="B28">
        <v>10.6698</v>
      </c>
      <c r="W28" t="s">
        <v>161</v>
      </c>
    </row>
    <row r="29" spans="1:23" x14ac:dyDescent="0.35">
      <c r="A29">
        <v>501.18723360000001</v>
      </c>
      <c r="B29">
        <v>10.6698</v>
      </c>
    </row>
    <row r="30" spans="1:23" x14ac:dyDescent="0.35">
      <c r="A30">
        <v>630.95734449999998</v>
      </c>
      <c r="B30">
        <v>10.6692</v>
      </c>
      <c r="Q30" t="s">
        <v>162</v>
      </c>
    </row>
    <row r="31" spans="1:23" x14ac:dyDescent="0.35">
      <c r="A31">
        <v>794.32823470000005</v>
      </c>
      <c r="B31">
        <v>10.668100000000001</v>
      </c>
    </row>
    <row r="32" spans="1:23" x14ac:dyDescent="0.35">
      <c r="A32">
        <v>1000</v>
      </c>
      <c r="B32">
        <v>10.6661</v>
      </c>
    </row>
    <row r="33" spans="1:2" x14ac:dyDescent="0.35">
      <c r="A33">
        <v>1258.9254120000001</v>
      </c>
      <c r="B33">
        <v>10.6629</v>
      </c>
    </row>
    <row r="34" spans="1:2" x14ac:dyDescent="0.35">
      <c r="A34">
        <v>1584.893192</v>
      </c>
      <c r="B34">
        <v>10.6577</v>
      </c>
    </row>
    <row r="35" spans="1:2" x14ac:dyDescent="0.35">
      <c r="A35">
        <v>1995.2623149999999</v>
      </c>
      <c r="B35">
        <v>10.6495</v>
      </c>
    </row>
    <row r="36" spans="1:2" x14ac:dyDescent="0.35">
      <c r="A36">
        <v>2511.8864319999998</v>
      </c>
      <c r="B36">
        <v>10.6365</v>
      </c>
    </row>
    <row r="37" spans="1:2" x14ac:dyDescent="0.35">
      <c r="A37">
        <v>3162.2776600000002</v>
      </c>
      <c r="B37">
        <v>10.6159</v>
      </c>
    </row>
    <row r="38" spans="1:2" x14ac:dyDescent="0.35">
      <c r="A38">
        <v>3981.0717060000002</v>
      </c>
      <c r="B38">
        <v>10.583500000000001</v>
      </c>
    </row>
    <row r="39" spans="1:2" x14ac:dyDescent="0.35">
      <c r="A39">
        <v>5011.8723360000004</v>
      </c>
      <c r="B39">
        <v>10.5326</v>
      </c>
    </row>
    <row r="40" spans="1:2" x14ac:dyDescent="0.35">
      <c r="A40">
        <v>6309.573445</v>
      </c>
      <c r="B40">
        <v>10.453099999999999</v>
      </c>
    </row>
    <row r="41" spans="1:2" x14ac:dyDescent="0.35">
      <c r="A41">
        <v>7943.2823470000003</v>
      </c>
      <c r="B41">
        <v>10.3301</v>
      </c>
    </row>
    <row r="42" spans="1:2" x14ac:dyDescent="0.35">
      <c r="A42">
        <v>10000</v>
      </c>
      <c r="B42">
        <v>10.1419</v>
      </c>
    </row>
    <row r="43" spans="1:2" x14ac:dyDescent="0.35">
      <c r="A43">
        <v>12589.25412</v>
      </c>
      <c r="B43">
        <v>9.8594399999999993</v>
      </c>
    </row>
    <row r="44" spans="1:2" x14ac:dyDescent="0.35">
      <c r="A44">
        <v>15848.931920000001</v>
      </c>
      <c r="B44">
        <v>9.4463200000000001</v>
      </c>
    </row>
    <row r="45" spans="1:2" x14ac:dyDescent="0.35">
      <c r="A45">
        <v>19952.623149999999</v>
      </c>
      <c r="B45">
        <v>8.8627599999999997</v>
      </c>
    </row>
    <row r="46" spans="1:2" x14ac:dyDescent="0.35">
      <c r="A46">
        <v>25118.864320000001</v>
      </c>
      <c r="B46">
        <v>8.0736000000000008</v>
      </c>
    </row>
    <row r="47" spans="1:2" x14ac:dyDescent="0.35">
      <c r="A47">
        <v>31622.776600000001</v>
      </c>
      <c r="B47">
        <v>7.0584100000000003</v>
      </c>
    </row>
    <row r="48" spans="1:2" x14ac:dyDescent="0.35">
      <c r="A48">
        <v>39810.717060000003</v>
      </c>
      <c r="B48">
        <v>5.8187499999999996</v>
      </c>
    </row>
    <row r="49" spans="1:2" x14ac:dyDescent="0.35">
      <c r="A49">
        <v>50118.723360000004</v>
      </c>
      <c r="B49">
        <v>4.3775700000000004</v>
      </c>
    </row>
    <row r="50" spans="1:2" x14ac:dyDescent="0.35">
      <c r="A50">
        <v>63095.734450000004</v>
      </c>
      <c r="B50">
        <v>2.7713100000000002</v>
      </c>
    </row>
    <row r="51" spans="1:2" x14ac:dyDescent="0.35">
      <c r="A51">
        <v>79432.823470000003</v>
      </c>
      <c r="B51">
        <v>1.03969</v>
      </c>
    </row>
    <row r="52" spans="1:2" x14ac:dyDescent="0.35">
      <c r="A52">
        <v>100000</v>
      </c>
      <c r="B52">
        <v>-0.78164500000000003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4746-EBF7-410C-AF7C-8C90464D393B}">
  <dimension ref="A1:B502"/>
  <sheetViews>
    <sheetView zoomScale="110" zoomScaleNormal="110" workbookViewId="0"/>
  </sheetViews>
  <sheetFormatPr defaultRowHeight="14.5" x14ac:dyDescent="0.35"/>
  <cols>
    <col min="1" max="1" width="12.453125" bestFit="1" customWidth="1"/>
    <col min="2" max="2" width="16.453125" bestFit="1" customWidth="1"/>
  </cols>
  <sheetData>
    <row r="1" spans="1:2" x14ac:dyDescent="0.35">
      <c r="A1" t="s">
        <v>84</v>
      </c>
      <c r="B1" t="s">
        <v>85</v>
      </c>
    </row>
    <row r="2" spans="1:2" x14ac:dyDescent="0.35">
      <c r="A2">
        <v>1</v>
      </c>
      <c r="B2">
        <v>-5.8578200000000002</v>
      </c>
    </row>
    <row r="3" spans="1:2" x14ac:dyDescent="0.35">
      <c r="A3">
        <v>1.023292992</v>
      </c>
      <c r="B3">
        <v>-5.6623700000000001</v>
      </c>
    </row>
    <row r="4" spans="1:2" x14ac:dyDescent="0.35">
      <c r="A4">
        <v>1.0471285480000001</v>
      </c>
      <c r="B4">
        <v>-5.4671200000000004</v>
      </c>
    </row>
    <row r="5" spans="1:2" x14ac:dyDescent="0.35">
      <c r="A5">
        <v>1.071519305</v>
      </c>
      <c r="B5">
        <v>-5.2721</v>
      </c>
    </row>
    <row r="6" spans="1:2" x14ac:dyDescent="0.35">
      <c r="A6">
        <v>1.0964781960000001</v>
      </c>
      <c r="B6">
        <v>-5.0773000000000001</v>
      </c>
    </row>
    <row r="7" spans="1:2" x14ac:dyDescent="0.35">
      <c r="A7">
        <v>1.122018454</v>
      </c>
      <c r="B7">
        <v>-4.8827499999999997</v>
      </c>
    </row>
    <row r="8" spans="1:2" x14ac:dyDescent="0.35">
      <c r="A8">
        <v>1.1481536210000001</v>
      </c>
      <c r="B8">
        <v>-4.6884399999999999</v>
      </c>
    </row>
    <row r="9" spans="1:2" x14ac:dyDescent="0.35">
      <c r="A9">
        <v>1.174897555</v>
      </c>
      <c r="B9">
        <v>-4.4943900000000001</v>
      </c>
    </row>
    <row r="10" spans="1:2" x14ac:dyDescent="0.35">
      <c r="A10">
        <v>1.202264435</v>
      </c>
      <c r="B10">
        <v>-4.3006200000000003</v>
      </c>
    </row>
    <row r="11" spans="1:2" x14ac:dyDescent="0.35">
      <c r="A11">
        <v>1.230268771</v>
      </c>
      <c r="B11">
        <v>-4.1071299999999997</v>
      </c>
    </row>
    <row r="12" spans="1:2" x14ac:dyDescent="0.35">
      <c r="A12">
        <v>1.258925412</v>
      </c>
      <c r="B12">
        <v>-3.9139300000000001</v>
      </c>
    </row>
    <row r="13" spans="1:2" x14ac:dyDescent="0.35">
      <c r="A13">
        <v>1.2882495519999999</v>
      </c>
      <c r="B13">
        <v>-3.72105</v>
      </c>
    </row>
    <row r="14" spans="1:2" x14ac:dyDescent="0.35">
      <c r="A14">
        <v>1.318256739</v>
      </c>
      <c r="B14">
        <v>-3.5284800000000001</v>
      </c>
    </row>
    <row r="15" spans="1:2" x14ac:dyDescent="0.35">
      <c r="A15">
        <v>1.348962883</v>
      </c>
      <c r="B15">
        <v>-3.3362599999999998</v>
      </c>
    </row>
    <row r="16" spans="1:2" x14ac:dyDescent="0.35">
      <c r="A16">
        <v>1.380384265</v>
      </c>
      <c r="B16">
        <v>-3.14438</v>
      </c>
    </row>
    <row r="17" spans="1:2" x14ac:dyDescent="0.35">
      <c r="A17">
        <v>1.4125375449999999</v>
      </c>
      <c r="B17">
        <v>-2.9528699999999999</v>
      </c>
    </row>
    <row r="18" spans="1:2" x14ac:dyDescent="0.35">
      <c r="A18">
        <v>1.445439771</v>
      </c>
      <c r="B18">
        <v>-2.7617500000000001</v>
      </c>
    </row>
    <row r="19" spans="1:2" x14ac:dyDescent="0.35">
      <c r="A19">
        <v>1.479108388</v>
      </c>
      <c r="B19">
        <v>-2.5710199999999999</v>
      </c>
    </row>
    <row r="20" spans="1:2" x14ac:dyDescent="0.35">
      <c r="A20">
        <v>1.513561248</v>
      </c>
      <c r="B20">
        <v>-2.3807100000000001</v>
      </c>
    </row>
    <row r="21" spans="1:2" x14ac:dyDescent="0.35">
      <c r="A21">
        <v>1.5488166189999999</v>
      </c>
      <c r="B21">
        <v>-2.1908300000000001</v>
      </c>
    </row>
    <row r="22" spans="1:2" x14ac:dyDescent="0.35">
      <c r="A22">
        <v>1.584893192</v>
      </c>
      <c r="B22">
        <v>-2.0014099999999999</v>
      </c>
    </row>
    <row r="23" spans="1:2" x14ac:dyDescent="0.35">
      <c r="A23">
        <v>1.621810097</v>
      </c>
      <c r="B23">
        <v>-1.8124499999999999</v>
      </c>
    </row>
    <row r="24" spans="1:2" x14ac:dyDescent="0.35">
      <c r="A24">
        <v>1.659586907</v>
      </c>
      <c r="B24">
        <v>-1.62399</v>
      </c>
    </row>
    <row r="25" spans="1:2" x14ac:dyDescent="0.35">
      <c r="A25">
        <v>1.6982436519999999</v>
      </c>
      <c r="B25">
        <v>-1.43604</v>
      </c>
    </row>
    <row r="26" spans="1:2" x14ac:dyDescent="0.35">
      <c r="A26">
        <v>1.737800829</v>
      </c>
      <c r="B26">
        <v>-1.2486200000000001</v>
      </c>
    </row>
    <row r="27" spans="1:2" x14ac:dyDescent="0.35">
      <c r="A27">
        <v>1.7782794099999999</v>
      </c>
      <c r="B27">
        <v>-1.06175</v>
      </c>
    </row>
    <row r="28" spans="1:2" x14ac:dyDescent="0.35">
      <c r="A28">
        <v>1.8197008589999999</v>
      </c>
      <c r="B28">
        <v>-0.87545700000000004</v>
      </c>
    </row>
    <row r="29" spans="1:2" x14ac:dyDescent="0.35">
      <c r="A29">
        <v>1.8620871370000001</v>
      </c>
      <c r="B29">
        <v>-0.68976599999999999</v>
      </c>
    </row>
    <row r="30" spans="1:2" x14ac:dyDescent="0.35">
      <c r="A30">
        <v>1.9054607180000001</v>
      </c>
      <c r="B30">
        <v>-0.50469900000000001</v>
      </c>
    </row>
    <row r="31" spans="1:2" x14ac:dyDescent="0.35">
      <c r="A31">
        <v>1.9498446</v>
      </c>
      <c r="B31">
        <v>-0.32028099999999998</v>
      </c>
    </row>
    <row r="32" spans="1:2" x14ac:dyDescent="0.35">
      <c r="A32">
        <v>1.995262315</v>
      </c>
      <c r="B32">
        <v>-0.13653799999999999</v>
      </c>
    </row>
    <row r="33" spans="1:2" x14ac:dyDescent="0.35">
      <c r="A33">
        <v>2.0417379449999999</v>
      </c>
      <c r="B33">
        <v>4.6503900000000001E-2</v>
      </c>
    </row>
    <row r="34" spans="1:2" x14ac:dyDescent="0.35">
      <c r="A34">
        <v>2.0892961309999998</v>
      </c>
      <c r="B34">
        <v>0.22881799999999999</v>
      </c>
    </row>
    <row r="35" spans="1:2" x14ac:dyDescent="0.35">
      <c r="A35">
        <v>2.1379620899999998</v>
      </c>
      <c r="B35">
        <v>0.41037400000000002</v>
      </c>
    </row>
    <row r="36" spans="1:2" x14ac:dyDescent="0.35">
      <c r="A36">
        <v>2.1877616240000002</v>
      </c>
      <c r="B36">
        <v>0.59114599999999995</v>
      </c>
    </row>
    <row r="37" spans="1:2" x14ac:dyDescent="0.35">
      <c r="A37">
        <v>2.2387211389999999</v>
      </c>
      <c r="B37">
        <v>0.77110199999999995</v>
      </c>
    </row>
    <row r="38" spans="1:2" x14ac:dyDescent="0.35">
      <c r="A38">
        <v>2.2908676529999998</v>
      </c>
      <c r="B38">
        <v>0.95021199999999995</v>
      </c>
    </row>
    <row r="39" spans="1:2" x14ac:dyDescent="0.35">
      <c r="A39">
        <v>2.3442288150000001</v>
      </c>
      <c r="B39">
        <v>1.1284400000000001</v>
      </c>
    </row>
    <row r="40" spans="1:2" x14ac:dyDescent="0.35">
      <c r="A40">
        <v>2.3988329190000002</v>
      </c>
      <c r="B40">
        <v>1.3057700000000001</v>
      </c>
    </row>
    <row r="41" spans="1:2" x14ac:dyDescent="0.35">
      <c r="A41">
        <v>2.454708916</v>
      </c>
      <c r="B41">
        <v>1.4821500000000001</v>
      </c>
    </row>
    <row r="42" spans="1:2" x14ac:dyDescent="0.35">
      <c r="A42">
        <v>2.5118864319999998</v>
      </c>
      <c r="B42">
        <v>1.6575500000000001</v>
      </c>
    </row>
    <row r="43" spans="1:2" x14ac:dyDescent="0.35">
      <c r="A43">
        <v>2.5703957829999999</v>
      </c>
      <c r="B43">
        <v>1.83195</v>
      </c>
    </row>
    <row r="44" spans="1:2" x14ac:dyDescent="0.35">
      <c r="A44">
        <v>2.6302679919999998</v>
      </c>
      <c r="B44">
        <v>2.00529</v>
      </c>
    </row>
    <row r="45" spans="1:2" x14ac:dyDescent="0.35">
      <c r="A45">
        <v>2.6915348039999998</v>
      </c>
      <c r="B45">
        <v>2.1775600000000002</v>
      </c>
    </row>
    <row r="46" spans="1:2" x14ac:dyDescent="0.35">
      <c r="A46">
        <v>2.7542287029999999</v>
      </c>
      <c r="B46">
        <v>2.3487100000000001</v>
      </c>
    </row>
    <row r="47" spans="1:2" x14ac:dyDescent="0.35">
      <c r="A47">
        <v>2.8183829309999999</v>
      </c>
      <c r="B47">
        <v>2.5186999999999999</v>
      </c>
    </row>
    <row r="48" spans="1:2" x14ac:dyDescent="0.35">
      <c r="A48">
        <v>2.8840315030000001</v>
      </c>
      <c r="B48">
        <v>2.6875</v>
      </c>
    </row>
    <row r="49" spans="1:2" x14ac:dyDescent="0.35">
      <c r="A49">
        <v>2.9512092270000001</v>
      </c>
      <c r="B49">
        <v>2.8550599999999999</v>
      </c>
    </row>
    <row r="50" spans="1:2" x14ac:dyDescent="0.35">
      <c r="A50">
        <v>3.0199517199999999</v>
      </c>
      <c r="B50">
        <v>3.02136</v>
      </c>
    </row>
    <row r="51" spans="1:2" x14ac:dyDescent="0.35">
      <c r="A51">
        <v>3.0902954330000001</v>
      </c>
      <c r="B51">
        <v>3.18634</v>
      </c>
    </row>
    <row r="52" spans="1:2" x14ac:dyDescent="0.35">
      <c r="A52">
        <v>3.16227766</v>
      </c>
      <c r="B52">
        <v>3.34998</v>
      </c>
    </row>
    <row r="53" spans="1:2" x14ac:dyDescent="0.35">
      <c r="A53">
        <v>3.2359365690000002</v>
      </c>
      <c r="B53">
        <v>3.5122200000000001</v>
      </c>
    </row>
    <row r="54" spans="1:2" x14ac:dyDescent="0.35">
      <c r="A54">
        <v>3.3113112149999999</v>
      </c>
      <c r="B54">
        <v>3.6730299999999998</v>
      </c>
    </row>
    <row r="55" spans="1:2" x14ac:dyDescent="0.35">
      <c r="A55">
        <v>3.388441561</v>
      </c>
      <c r="B55">
        <v>3.8323800000000001</v>
      </c>
    </row>
    <row r="56" spans="1:2" x14ac:dyDescent="0.35">
      <c r="A56">
        <v>3.467368505</v>
      </c>
      <c r="B56">
        <v>3.9902099999999998</v>
      </c>
    </row>
    <row r="57" spans="1:2" x14ac:dyDescent="0.35">
      <c r="A57">
        <v>3.5481338920000001</v>
      </c>
      <c r="B57">
        <v>4.1464800000000004</v>
      </c>
    </row>
    <row r="58" spans="1:2" x14ac:dyDescent="0.35">
      <c r="A58">
        <v>3.6307805480000002</v>
      </c>
      <c r="B58">
        <v>4.3011699999999999</v>
      </c>
    </row>
    <row r="59" spans="1:2" x14ac:dyDescent="0.35">
      <c r="A59">
        <v>3.7153522909999999</v>
      </c>
      <c r="B59">
        <v>4.4542200000000003</v>
      </c>
    </row>
    <row r="60" spans="1:2" x14ac:dyDescent="0.35">
      <c r="A60">
        <v>3.8018939629999999</v>
      </c>
      <c r="B60">
        <v>4.6055900000000003</v>
      </c>
    </row>
    <row r="61" spans="1:2" x14ac:dyDescent="0.35">
      <c r="A61">
        <v>3.89045145</v>
      </c>
      <c r="B61">
        <v>4.7552500000000002</v>
      </c>
    </row>
    <row r="62" spans="1:2" x14ac:dyDescent="0.35">
      <c r="A62">
        <v>3.9810717059999998</v>
      </c>
      <c r="B62">
        <v>4.9031599999999997</v>
      </c>
    </row>
    <row r="63" spans="1:2" x14ac:dyDescent="0.35">
      <c r="A63">
        <v>4.0738027780000001</v>
      </c>
      <c r="B63">
        <v>5.0492699999999999</v>
      </c>
    </row>
    <row r="64" spans="1:2" x14ac:dyDescent="0.35">
      <c r="A64">
        <v>4.168693835</v>
      </c>
      <c r="B64">
        <v>5.1935500000000001</v>
      </c>
    </row>
    <row r="65" spans="1:2" x14ac:dyDescent="0.35">
      <c r="A65">
        <v>4.2657951880000002</v>
      </c>
      <c r="B65">
        <v>5.33596</v>
      </c>
    </row>
    <row r="66" spans="1:2" x14ac:dyDescent="0.35">
      <c r="A66">
        <v>4.3651583220000001</v>
      </c>
      <c r="B66">
        <v>5.4764600000000003</v>
      </c>
    </row>
    <row r="67" spans="1:2" x14ac:dyDescent="0.35">
      <c r="A67">
        <v>4.4668359219999996</v>
      </c>
      <c r="B67">
        <v>5.6150200000000003</v>
      </c>
    </row>
    <row r="68" spans="1:2" x14ac:dyDescent="0.35">
      <c r="A68">
        <v>4.5708818960000004</v>
      </c>
      <c r="B68">
        <v>5.7516100000000003</v>
      </c>
    </row>
    <row r="69" spans="1:2" x14ac:dyDescent="0.35">
      <c r="A69">
        <v>4.6773514130000002</v>
      </c>
      <c r="B69">
        <v>5.8861800000000004</v>
      </c>
    </row>
    <row r="70" spans="1:2" x14ac:dyDescent="0.35">
      <c r="A70">
        <v>4.7863009229999998</v>
      </c>
      <c r="B70">
        <v>6.0187099999999996</v>
      </c>
    </row>
    <row r="71" spans="1:2" x14ac:dyDescent="0.35">
      <c r="A71">
        <v>4.8977881940000003</v>
      </c>
      <c r="B71">
        <v>6.1491600000000002</v>
      </c>
    </row>
    <row r="72" spans="1:2" x14ac:dyDescent="0.35">
      <c r="A72">
        <v>5.0118723359999997</v>
      </c>
      <c r="B72">
        <v>6.27752</v>
      </c>
    </row>
    <row r="73" spans="1:2" x14ac:dyDescent="0.35">
      <c r="A73">
        <v>5.1286138399999999</v>
      </c>
      <c r="B73">
        <v>6.40374</v>
      </c>
    </row>
    <row r="74" spans="1:2" x14ac:dyDescent="0.35">
      <c r="A74">
        <v>5.248074602</v>
      </c>
      <c r="B74">
        <v>6.5278</v>
      </c>
    </row>
    <row r="75" spans="1:2" x14ac:dyDescent="0.35">
      <c r="A75">
        <v>5.3703179639999998</v>
      </c>
      <c r="B75">
        <v>6.6496899999999997</v>
      </c>
    </row>
    <row r="76" spans="1:2" x14ac:dyDescent="0.35">
      <c r="A76">
        <v>5.4954087390000002</v>
      </c>
      <c r="B76">
        <v>6.7693700000000003</v>
      </c>
    </row>
    <row r="77" spans="1:2" x14ac:dyDescent="0.35">
      <c r="A77">
        <v>5.6234132519999998</v>
      </c>
      <c r="B77">
        <v>6.8868200000000002</v>
      </c>
    </row>
    <row r="78" spans="1:2" x14ac:dyDescent="0.35">
      <c r="A78">
        <v>5.754399373</v>
      </c>
      <c r="B78">
        <v>7.00204</v>
      </c>
    </row>
    <row r="79" spans="1:2" x14ac:dyDescent="0.35">
      <c r="A79">
        <v>5.8884365540000001</v>
      </c>
      <c r="B79">
        <v>7.1150000000000002</v>
      </c>
    </row>
    <row r="80" spans="1:2" x14ac:dyDescent="0.35">
      <c r="A80">
        <v>6.0255958610000002</v>
      </c>
      <c r="B80">
        <v>7.2256900000000002</v>
      </c>
    </row>
    <row r="81" spans="1:2" x14ac:dyDescent="0.35">
      <c r="A81">
        <v>6.1659500190000003</v>
      </c>
      <c r="B81">
        <v>7.3341000000000003</v>
      </c>
    </row>
    <row r="82" spans="1:2" x14ac:dyDescent="0.35">
      <c r="A82">
        <v>6.3095734449999998</v>
      </c>
      <c r="B82">
        <v>7.4402200000000001</v>
      </c>
    </row>
    <row r="83" spans="1:2" x14ac:dyDescent="0.35">
      <c r="A83">
        <v>6.4565422899999998</v>
      </c>
      <c r="B83">
        <v>7.5440399999999999</v>
      </c>
    </row>
    <row r="84" spans="1:2" x14ac:dyDescent="0.35">
      <c r="A84">
        <v>6.6069344799999996</v>
      </c>
      <c r="B84">
        <v>7.6455599999999997</v>
      </c>
    </row>
    <row r="85" spans="1:2" x14ac:dyDescent="0.35">
      <c r="A85">
        <v>6.7608297540000004</v>
      </c>
      <c r="B85">
        <v>7.7447800000000004</v>
      </c>
    </row>
    <row r="86" spans="1:2" x14ac:dyDescent="0.35">
      <c r="A86">
        <v>6.9183097089999999</v>
      </c>
      <c r="B86">
        <v>7.8416899999999998</v>
      </c>
    </row>
    <row r="87" spans="1:2" x14ac:dyDescent="0.35">
      <c r="A87">
        <v>7.0794578440000002</v>
      </c>
      <c r="B87">
        <v>7.9363099999999998</v>
      </c>
    </row>
    <row r="88" spans="1:2" x14ac:dyDescent="0.35">
      <c r="A88">
        <v>7.2443596010000002</v>
      </c>
      <c r="B88">
        <v>8.0286399999999993</v>
      </c>
    </row>
    <row r="89" spans="1:2" x14ac:dyDescent="0.35">
      <c r="A89">
        <v>7.4131024129999998</v>
      </c>
      <c r="B89">
        <v>8.1186799999999995</v>
      </c>
    </row>
    <row r="90" spans="1:2" x14ac:dyDescent="0.35">
      <c r="A90">
        <v>7.5857757499999998</v>
      </c>
      <c r="B90">
        <v>8.2064500000000002</v>
      </c>
    </row>
    <row r="91" spans="1:2" x14ac:dyDescent="0.35">
      <c r="A91">
        <v>7.7624711660000001</v>
      </c>
      <c r="B91">
        <v>8.2919499999999999</v>
      </c>
    </row>
    <row r="92" spans="1:2" x14ac:dyDescent="0.35">
      <c r="A92">
        <v>7.9432823470000002</v>
      </c>
      <c r="B92">
        <v>8.3752099999999992</v>
      </c>
    </row>
    <row r="93" spans="1:2" x14ac:dyDescent="0.35">
      <c r="A93">
        <v>8.1283051620000002</v>
      </c>
      <c r="B93">
        <v>8.4562399999999993</v>
      </c>
    </row>
    <row r="94" spans="1:2" x14ac:dyDescent="0.35">
      <c r="A94">
        <v>8.3176377109999997</v>
      </c>
      <c r="B94">
        <v>8.5350699999999993</v>
      </c>
    </row>
    <row r="95" spans="1:2" x14ac:dyDescent="0.35">
      <c r="A95">
        <v>8.5113803820000005</v>
      </c>
      <c r="B95">
        <v>8.6117000000000008</v>
      </c>
    </row>
    <row r="96" spans="1:2" x14ac:dyDescent="0.35">
      <c r="A96">
        <v>8.7096359000000003</v>
      </c>
      <c r="B96">
        <v>8.6861700000000006</v>
      </c>
    </row>
    <row r="97" spans="1:2" x14ac:dyDescent="0.35">
      <c r="A97">
        <v>8.9125093809999996</v>
      </c>
      <c r="B97">
        <v>8.7584999999999997</v>
      </c>
    </row>
    <row r="98" spans="1:2" x14ac:dyDescent="0.35">
      <c r="A98">
        <v>9.1201083940000007</v>
      </c>
      <c r="B98">
        <v>8.8287099999999992</v>
      </c>
    </row>
    <row r="99" spans="1:2" x14ac:dyDescent="0.35">
      <c r="A99">
        <v>9.332543008</v>
      </c>
      <c r="B99">
        <v>8.8968500000000006</v>
      </c>
    </row>
    <row r="100" spans="1:2" x14ac:dyDescent="0.35">
      <c r="A100">
        <v>9.5499258600000001</v>
      </c>
      <c r="B100">
        <v>8.9629300000000001</v>
      </c>
    </row>
    <row r="101" spans="1:2" x14ac:dyDescent="0.35">
      <c r="A101">
        <v>9.7723722100000003</v>
      </c>
      <c r="B101">
        <v>9.02698</v>
      </c>
    </row>
    <row r="102" spans="1:2" x14ac:dyDescent="0.35">
      <c r="A102">
        <v>10</v>
      </c>
      <c r="B102">
        <v>9.0890599999999999</v>
      </c>
    </row>
    <row r="103" spans="1:2" x14ac:dyDescent="0.35">
      <c r="A103">
        <v>10.23292992</v>
      </c>
      <c r="B103">
        <v>9.1491699999999998</v>
      </c>
    </row>
    <row r="104" spans="1:2" x14ac:dyDescent="0.35">
      <c r="A104">
        <v>10.471285480000001</v>
      </c>
      <c r="B104">
        <v>9.2073699999999992</v>
      </c>
    </row>
    <row r="105" spans="1:2" x14ac:dyDescent="0.35">
      <c r="A105">
        <v>10.71519305</v>
      </c>
      <c r="B105">
        <v>9.2636900000000004</v>
      </c>
    </row>
    <row r="106" spans="1:2" x14ac:dyDescent="0.35">
      <c r="A106">
        <v>10.96478196</v>
      </c>
      <c r="B106">
        <v>9.3181600000000007</v>
      </c>
    </row>
    <row r="107" spans="1:2" x14ac:dyDescent="0.35">
      <c r="A107">
        <v>11.22018454</v>
      </c>
      <c r="B107">
        <v>9.3708200000000001</v>
      </c>
    </row>
    <row r="108" spans="1:2" x14ac:dyDescent="0.35">
      <c r="A108">
        <v>11.48153621</v>
      </c>
      <c r="B108">
        <v>9.4217200000000005</v>
      </c>
    </row>
    <row r="109" spans="1:2" x14ac:dyDescent="0.35">
      <c r="A109">
        <v>11.748975550000001</v>
      </c>
      <c r="B109">
        <v>9.4708900000000007</v>
      </c>
    </row>
    <row r="110" spans="1:2" x14ac:dyDescent="0.35">
      <c r="A110">
        <v>12.02264435</v>
      </c>
      <c r="B110">
        <v>9.5183800000000005</v>
      </c>
    </row>
    <row r="111" spans="1:2" x14ac:dyDescent="0.35">
      <c r="A111">
        <v>12.302687710000001</v>
      </c>
      <c r="B111">
        <v>9.5642099999999992</v>
      </c>
    </row>
    <row r="112" spans="1:2" x14ac:dyDescent="0.35">
      <c r="A112">
        <v>12.58925412</v>
      </c>
      <c r="B112">
        <v>9.6084399999999999</v>
      </c>
    </row>
    <row r="113" spans="1:2" x14ac:dyDescent="0.35">
      <c r="A113">
        <v>12.882495520000001</v>
      </c>
      <c r="B113">
        <v>9.6511099999999992</v>
      </c>
    </row>
    <row r="114" spans="1:2" x14ac:dyDescent="0.35">
      <c r="A114">
        <v>13.182567390000001</v>
      </c>
      <c r="B114">
        <v>9.6922499999999996</v>
      </c>
    </row>
    <row r="115" spans="1:2" x14ac:dyDescent="0.35">
      <c r="A115">
        <v>13.489628829999999</v>
      </c>
      <c r="B115">
        <v>9.7318999999999996</v>
      </c>
    </row>
    <row r="116" spans="1:2" x14ac:dyDescent="0.35">
      <c r="A116">
        <v>13.80384265</v>
      </c>
      <c r="B116">
        <v>9.7701100000000007</v>
      </c>
    </row>
    <row r="117" spans="1:2" x14ac:dyDescent="0.35">
      <c r="A117">
        <v>14.12537545</v>
      </c>
      <c r="B117">
        <v>9.8069199999999999</v>
      </c>
    </row>
    <row r="118" spans="1:2" x14ac:dyDescent="0.35">
      <c r="A118">
        <v>14.45439771</v>
      </c>
      <c r="B118">
        <v>9.8423599999999993</v>
      </c>
    </row>
    <row r="119" spans="1:2" x14ac:dyDescent="0.35">
      <c r="A119">
        <v>14.79108388</v>
      </c>
      <c r="B119">
        <v>9.8764900000000004</v>
      </c>
    </row>
    <row r="120" spans="1:2" x14ac:dyDescent="0.35">
      <c r="A120">
        <v>15.135612480000001</v>
      </c>
      <c r="B120">
        <v>9.9093199999999992</v>
      </c>
    </row>
    <row r="121" spans="1:2" x14ac:dyDescent="0.35">
      <c r="A121">
        <v>15.488166189999999</v>
      </c>
      <c r="B121">
        <v>9.9409200000000002</v>
      </c>
    </row>
    <row r="122" spans="1:2" x14ac:dyDescent="0.35">
      <c r="A122">
        <v>15.84893192</v>
      </c>
      <c r="B122">
        <v>9.9712999999999994</v>
      </c>
    </row>
    <row r="123" spans="1:2" x14ac:dyDescent="0.35">
      <c r="A123">
        <v>16.218100969999998</v>
      </c>
      <c r="B123">
        <v>10.000500000000001</v>
      </c>
    </row>
    <row r="124" spans="1:2" x14ac:dyDescent="0.35">
      <c r="A124">
        <v>16.595869069999999</v>
      </c>
      <c r="B124">
        <v>10.028600000000001</v>
      </c>
    </row>
    <row r="125" spans="1:2" x14ac:dyDescent="0.35">
      <c r="A125">
        <v>16.98243652</v>
      </c>
      <c r="B125">
        <v>10.0556</v>
      </c>
    </row>
    <row r="126" spans="1:2" x14ac:dyDescent="0.35">
      <c r="A126">
        <v>17.37800829</v>
      </c>
      <c r="B126">
        <v>10.0815</v>
      </c>
    </row>
    <row r="127" spans="1:2" x14ac:dyDescent="0.35">
      <c r="A127">
        <v>17.7827941</v>
      </c>
      <c r="B127">
        <v>10.1065</v>
      </c>
    </row>
    <row r="128" spans="1:2" x14ac:dyDescent="0.35">
      <c r="A128">
        <v>18.197008589999999</v>
      </c>
      <c r="B128">
        <v>10.1304</v>
      </c>
    </row>
    <row r="129" spans="1:2" x14ac:dyDescent="0.35">
      <c r="A129">
        <v>18.62087137</v>
      </c>
      <c r="B129">
        <v>10.1534</v>
      </c>
    </row>
    <row r="130" spans="1:2" x14ac:dyDescent="0.35">
      <c r="A130">
        <v>19.054607180000001</v>
      </c>
      <c r="B130">
        <v>10.1754</v>
      </c>
    </row>
    <row r="131" spans="1:2" x14ac:dyDescent="0.35">
      <c r="A131">
        <v>19.498446000000001</v>
      </c>
      <c r="B131">
        <v>10.1966</v>
      </c>
    </row>
    <row r="132" spans="1:2" x14ac:dyDescent="0.35">
      <c r="A132">
        <v>19.952623150000001</v>
      </c>
      <c r="B132">
        <v>10.216900000000001</v>
      </c>
    </row>
    <row r="133" spans="1:2" x14ac:dyDescent="0.35">
      <c r="A133">
        <v>20.417379449999999</v>
      </c>
      <c r="B133">
        <v>10.2364</v>
      </c>
    </row>
    <row r="134" spans="1:2" x14ac:dyDescent="0.35">
      <c r="A134">
        <v>20.89296131</v>
      </c>
      <c r="B134">
        <v>10.255100000000001</v>
      </c>
    </row>
    <row r="135" spans="1:2" x14ac:dyDescent="0.35">
      <c r="A135">
        <v>21.379620899999999</v>
      </c>
      <c r="B135">
        <v>10.273</v>
      </c>
    </row>
    <row r="136" spans="1:2" x14ac:dyDescent="0.35">
      <c r="A136">
        <v>21.877616239999998</v>
      </c>
      <c r="B136">
        <v>10.2902</v>
      </c>
    </row>
    <row r="137" spans="1:2" x14ac:dyDescent="0.35">
      <c r="A137">
        <v>22.387211390000001</v>
      </c>
      <c r="B137">
        <v>10.306699999999999</v>
      </c>
    </row>
    <row r="138" spans="1:2" x14ac:dyDescent="0.35">
      <c r="A138">
        <v>22.908676530000001</v>
      </c>
      <c r="B138">
        <v>10.3225</v>
      </c>
    </row>
    <row r="139" spans="1:2" x14ac:dyDescent="0.35">
      <c r="A139">
        <v>23.44228815</v>
      </c>
      <c r="B139">
        <v>10.3376</v>
      </c>
    </row>
    <row r="140" spans="1:2" x14ac:dyDescent="0.35">
      <c r="A140">
        <v>23.988329190000002</v>
      </c>
      <c r="B140">
        <v>10.3521</v>
      </c>
    </row>
    <row r="141" spans="1:2" x14ac:dyDescent="0.35">
      <c r="A141">
        <v>24.547089159999999</v>
      </c>
      <c r="B141">
        <v>10.366</v>
      </c>
    </row>
    <row r="142" spans="1:2" x14ac:dyDescent="0.35">
      <c r="A142">
        <v>25.11886432</v>
      </c>
      <c r="B142">
        <v>10.379300000000001</v>
      </c>
    </row>
    <row r="143" spans="1:2" x14ac:dyDescent="0.35">
      <c r="A143">
        <v>25.70395783</v>
      </c>
      <c r="B143">
        <v>10.392099999999999</v>
      </c>
    </row>
    <row r="144" spans="1:2" x14ac:dyDescent="0.35">
      <c r="A144">
        <v>26.302679919999999</v>
      </c>
      <c r="B144">
        <v>10.404299999999999</v>
      </c>
    </row>
    <row r="145" spans="1:2" x14ac:dyDescent="0.35">
      <c r="A145">
        <v>26.915348040000001</v>
      </c>
      <c r="B145">
        <v>10.416</v>
      </c>
    </row>
    <row r="146" spans="1:2" x14ac:dyDescent="0.35">
      <c r="A146">
        <v>27.542287030000001</v>
      </c>
      <c r="B146">
        <v>10.427199999999999</v>
      </c>
    </row>
    <row r="147" spans="1:2" x14ac:dyDescent="0.35">
      <c r="A147">
        <v>28.18382931</v>
      </c>
      <c r="B147">
        <v>10.437900000000001</v>
      </c>
    </row>
    <row r="148" spans="1:2" x14ac:dyDescent="0.35">
      <c r="A148">
        <v>28.840315029999999</v>
      </c>
      <c r="B148">
        <v>10.4482</v>
      </c>
    </row>
    <row r="149" spans="1:2" x14ac:dyDescent="0.35">
      <c r="A149">
        <v>29.51209227</v>
      </c>
      <c r="B149">
        <v>10.458</v>
      </c>
    </row>
    <row r="150" spans="1:2" x14ac:dyDescent="0.35">
      <c r="A150">
        <v>30.199517199999999</v>
      </c>
      <c r="B150">
        <v>10.4674</v>
      </c>
    </row>
    <row r="151" spans="1:2" x14ac:dyDescent="0.35">
      <c r="A151">
        <v>30.90295433</v>
      </c>
      <c r="B151">
        <v>10.4764</v>
      </c>
    </row>
    <row r="152" spans="1:2" x14ac:dyDescent="0.35">
      <c r="A152">
        <v>31.622776600000002</v>
      </c>
      <c r="B152">
        <v>10.484999999999999</v>
      </c>
    </row>
    <row r="153" spans="1:2" x14ac:dyDescent="0.35">
      <c r="A153">
        <v>32.359365689999997</v>
      </c>
      <c r="B153">
        <v>10.4933</v>
      </c>
    </row>
    <row r="154" spans="1:2" x14ac:dyDescent="0.35">
      <c r="A154">
        <v>33.113112149999999</v>
      </c>
      <c r="B154">
        <v>10.501200000000001</v>
      </c>
    </row>
    <row r="155" spans="1:2" x14ac:dyDescent="0.35">
      <c r="A155">
        <v>33.884415609999998</v>
      </c>
      <c r="B155">
        <v>10.508699999999999</v>
      </c>
    </row>
    <row r="156" spans="1:2" x14ac:dyDescent="0.35">
      <c r="A156">
        <v>34.673685050000003</v>
      </c>
      <c r="B156">
        <v>10.5159</v>
      </c>
    </row>
    <row r="157" spans="1:2" x14ac:dyDescent="0.35">
      <c r="A157">
        <v>35.481338919999999</v>
      </c>
      <c r="B157">
        <v>10.5228</v>
      </c>
    </row>
    <row r="158" spans="1:2" x14ac:dyDescent="0.35">
      <c r="A158">
        <v>36.307805479999999</v>
      </c>
      <c r="B158">
        <v>10.529400000000001</v>
      </c>
    </row>
    <row r="159" spans="1:2" x14ac:dyDescent="0.35">
      <c r="A159">
        <v>37.15352291</v>
      </c>
      <c r="B159">
        <v>10.5357</v>
      </c>
    </row>
    <row r="160" spans="1:2" x14ac:dyDescent="0.35">
      <c r="A160">
        <v>38.018939629999998</v>
      </c>
      <c r="B160">
        <v>10.5418</v>
      </c>
    </row>
    <row r="161" spans="1:2" x14ac:dyDescent="0.35">
      <c r="A161">
        <v>38.904514499999998</v>
      </c>
      <c r="B161">
        <v>10.547499999999999</v>
      </c>
    </row>
    <row r="162" spans="1:2" x14ac:dyDescent="0.35">
      <c r="A162">
        <v>39.810717060000002</v>
      </c>
      <c r="B162">
        <v>10.553100000000001</v>
      </c>
    </row>
    <row r="163" spans="1:2" x14ac:dyDescent="0.35">
      <c r="A163">
        <v>40.738027780000003</v>
      </c>
      <c r="B163">
        <v>10.558400000000001</v>
      </c>
    </row>
    <row r="164" spans="1:2" x14ac:dyDescent="0.35">
      <c r="A164">
        <v>41.686938349999998</v>
      </c>
      <c r="B164">
        <v>10.5634</v>
      </c>
    </row>
    <row r="165" spans="1:2" x14ac:dyDescent="0.35">
      <c r="A165">
        <v>42.657951879999999</v>
      </c>
      <c r="B165">
        <v>10.568199999999999</v>
      </c>
    </row>
    <row r="166" spans="1:2" x14ac:dyDescent="0.35">
      <c r="A166">
        <v>43.651583219999999</v>
      </c>
      <c r="B166">
        <v>10.572800000000001</v>
      </c>
    </row>
    <row r="167" spans="1:2" x14ac:dyDescent="0.35">
      <c r="A167">
        <v>44.668359219999999</v>
      </c>
      <c r="B167">
        <v>10.577299999999999</v>
      </c>
    </row>
    <row r="168" spans="1:2" x14ac:dyDescent="0.35">
      <c r="A168">
        <v>45.708818960000002</v>
      </c>
      <c r="B168">
        <v>10.5815</v>
      </c>
    </row>
    <row r="169" spans="1:2" x14ac:dyDescent="0.35">
      <c r="A169">
        <v>46.773514130000002</v>
      </c>
      <c r="B169">
        <v>10.5855</v>
      </c>
    </row>
    <row r="170" spans="1:2" x14ac:dyDescent="0.35">
      <c r="A170">
        <v>47.863009230000003</v>
      </c>
      <c r="B170">
        <v>10.589399999999999</v>
      </c>
    </row>
    <row r="171" spans="1:2" x14ac:dyDescent="0.35">
      <c r="A171">
        <v>48.977881940000003</v>
      </c>
      <c r="B171">
        <v>10.593</v>
      </c>
    </row>
    <row r="172" spans="1:2" x14ac:dyDescent="0.35">
      <c r="A172">
        <v>50.118723359999997</v>
      </c>
      <c r="B172">
        <v>10.5966</v>
      </c>
    </row>
    <row r="173" spans="1:2" x14ac:dyDescent="0.35">
      <c r="A173">
        <v>51.286138399999999</v>
      </c>
      <c r="B173">
        <v>10.5999</v>
      </c>
    </row>
    <row r="174" spans="1:2" x14ac:dyDescent="0.35">
      <c r="A174">
        <v>52.480746019999998</v>
      </c>
      <c r="B174">
        <v>10.6031</v>
      </c>
    </row>
    <row r="175" spans="1:2" x14ac:dyDescent="0.35">
      <c r="A175">
        <v>53.703179640000002</v>
      </c>
      <c r="B175">
        <v>10.606199999999999</v>
      </c>
    </row>
    <row r="176" spans="1:2" x14ac:dyDescent="0.35">
      <c r="A176">
        <v>54.954087389999998</v>
      </c>
      <c r="B176">
        <v>10.6091</v>
      </c>
    </row>
    <row r="177" spans="1:2" x14ac:dyDescent="0.35">
      <c r="A177">
        <v>56.234132520000003</v>
      </c>
      <c r="B177">
        <v>10.6119</v>
      </c>
    </row>
    <row r="178" spans="1:2" x14ac:dyDescent="0.35">
      <c r="A178">
        <v>57.543993729999997</v>
      </c>
      <c r="B178">
        <v>10.614599999999999</v>
      </c>
    </row>
    <row r="179" spans="1:2" x14ac:dyDescent="0.35">
      <c r="A179">
        <v>58.884365539999997</v>
      </c>
      <c r="B179">
        <v>10.6172</v>
      </c>
    </row>
    <row r="180" spans="1:2" x14ac:dyDescent="0.35">
      <c r="A180">
        <v>60.25595861</v>
      </c>
      <c r="B180">
        <v>10.6196</v>
      </c>
    </row>
    <row r="181" spans="1:2" x14ac:dyDescent="0.35">
      <c r="A181">
        <v>61.659500190000003</v>
      </c>
      <c r="B181">
        <v>10.622</v>
      </c>
    </row>
    <row r="182" spans="1:2" x14ac:dyDescent="0.35">
      <c r="A182">
        <v>63.095734450000002</v>
      </c>
      <c r="B182">
        <v>10.6242</v>
      </c>
    </row>
    <row r="183" spans="1:2" x14ac:dyDescent="0.35">
      <c r="A183">
        <v>64.565422900000002</v>
      </c>
      <c r="B183">
        <v>10.626300000000001</v>
      </c>
    </row>
    <row r="184" spans="1:2" x14ac:dyDescent="0.35">
      <c r="A184">
        <v>66.069344799999996</v>
      </c>
      <c r="B184">
        <v>10.628399999999999</v>
      </c>
    </row>
    <row r="185" spans="1:2" x14ac:dyDescent="0.35">
      <c r="A185">
        <v>67.608297539999995</v>
      </c>
      <c r="B185">
        <v>10.6303</v>
      </c>
    </row>
    <row r="186" spans="1:2" x14ac:dyDescent="0.35">
      <c r="A186">
        <v>69.183097090000004</v>
      </c>
      <c r="B186">
        <v>10.632199999999999</v>
      </c>
    </row>
    <row r="187" spans="1:2" x14ac:dyDescent="0.35">
      <c r="A187">
        <v>70.794578439999995</v>
      </c>
      <c r="B187">
        <v>10.634</v>
      </c>
    </row>
    <row r="188" spans="1:2" x14ac:dyDescent="0.35">
      <c r="A188">
        <v>72.443596009999993</v>
      </c>
      <c r="B188">
        <v>10.6357</v>
      </c>
    </row>
    <row r="189" spans="1:2" x14ac:dyDescent="0.35">
      <c r="A189">
        <v>74.13102413</v>
      </c>
      <c r="B189">
        <v>10.6373</v>
      </c>
    </row>
    <row r="190" spans="1:2" x14ac:dyDescent="0.35">
      <c r="A190">
        <v>75.857757500000005</v>
      </c>
      <c r="B190">
        <v>10.6388</v>
      </c>
    </row>
    <row r="191" spans="1:2" x14ac:dyDescent="0.35">
      <c r="A191">
        <v>77.624711660000003</v>
      </c>
      <c r="B191">
        <v>10.6403</v>
      </c>
    </row>
    <row r="192" spans="1:2" x14ac:dyDescent="0.35">
      <c r="A192">
        <v>79.432823470000002</v>
      </c>
      <c r="B192">
        <v>10.6417</v>
      </c>
    </row>
    <row r="193" spans="1:2" x14ac:dyDescent="0.35">
      <c r="A193">
        <v>81.283051619999995</v>
      </c>
      <c r="B193">
        <v>10.6431</v>
      </c>
    </row>
    <row r="194" spans="1:2" x14ac:dyDescent="0.35">
      <c r="A194">
        <v>83.176377110000004</v>
      </c>
      <c r="B194">
        <v>10.644399999999999</v>
      </c>
    </row>
    <row r="195" spans="1:2" x14ac:dyDescent="0.35">
      <c r="A195">
        <v>85.113803820000001</v>
      </c>
      <c r="B195">
        <v>10.6456</v>
      </c>
    </row>
    <row r="196" spans="1:2" x14ac:dyDescent="0.35">
      <c r="A196">
        <v>87.096359000000007</v>
      </c>
      <c r="B196">
        <v>10.646800000000001</v>
      </c>
    </row>
    <row r="197" spans="1:2" x14ac:dyDescent="0.35">
      <c r="A197">
        <v>89.125093809999996</v>
      </c>
      <c r="B197">
        <v>10.6479</v>
      </c>
    </row>
    <row r="198" spans="1:2" x14ac:dyDescent="0.35">
      <c r="A198">
        <v>91.201083940000004</v>
      </c>
      <c r="B198">
        <v>10.648999999999999</v>
      </c>
    </row>
    <row r="199" spans="1:2" x14ac:dyDescent="0.35">
      <c r="A199">
        <v>93.325430080000004</v>
      </c>
      <c r="B199">
        <v>10.65</v>
      </c>
    </row>
    <row r="200" spans="1:2" x14ac:dyDescent="0.35">
      <c r="A200">
        <v>95.499258600000005</v>
      </c>
      <c r="B200">
        <v>10.651</v>
      </c>
    </row>
    <row r="201" spans="1:2" x14ac:dyDescent="0.35">
      <c r="A201">
        <v>97.723722100000003</v>
      </c>
      <c r="B201">
        <v>10.651899999999999</v>
      </c>
    </row>
    <row r="202" spans="1:2" x14ac:dyDescent="0.35">
      <c r="A202">
        <v>100</v>
      </c>
      <c r="B202">
        <v>10.652799999999999</v>
      </c>
    </row>
    <row r="203" spans="1:2" x14ac:dyDescent="0.35">
      <c r="A203">
        <v>102.32929919999999</v>
      </c>
      <c r="B203">
        <v>10.653700000000001</v>
      </c>
    </row>
    <row r="204" spans="1:2" x14ac:dyDescent="0.35">
      <c r="A204">
        <v>104.7128548</v>
      </c>
      <c r="B204">
        <v>10.654500000000001</v>
      </c>
    </row>
    <row r="205" spans="1:2" x14ac:dyDescent="0.35">
      <c r="A205">
        <v>107.15193050000001</v>
      </c>
      <c r="B205">
        <v>10.6553</v>
      </c>
    </row>
    <row r="206" spans="1:2" x14ac:dyDescent="0.35">
      <c r="A206">
        <v>109.64781960000001</v>
      </c>
      <c r="B206">
        <v>10.656000000000001</v>
      </c>
    </row>
    <row r="207" spans="1:2" x14ac:dyDescent="0.35">
      <c r="A207">
        <v>112.2018454</v>
      </c>
      <c r="B207">
        <v>10.656700000000001</v>
      </c>
    </row>
    <row r="208" spans="1:2" x14ac:dyDescent="0.35">
      <c r="A208">
        <v>114.8153621</v>
      </c>
      <c r="B208">
        <v>10.657400000000001</v>
      </c>
    </row>
    <row r="209" spans="1:2" x14ac:dyDescent="0.35">
      <c r="A209">
        <v>117.4897555</v>
      </c>
      <c r="B209">
        <v>10.657999999999999</v>
      </c>
    </row>
    <row r="210" spans="1:2" x14ac:dyDescent="0.35">
      <c r="A210">
        <v>120.2264435</v>
      </c>
      <c r="B210">
        <v>10.6587</v>
      </c>
    </row>
    <row r="211" spans="1:2" x14ac:dyDescent="0.35">
      <c r="A211">
        <v>123.02687709999999</v>
      </c>
      <c r="B211">
        <v>10.6593</v>
      </c>
    </row>
    <row r="212" spans="1:2" x14ac:dyDescent="0.35">
      <c r="A212">
        <v>125.8925412</v>
      </c>
      <c r="B212">
        <v>10.659800000000001</v>
      </c>
    </row>
    <row r="213" spans="1:2" x14ac:dyDescent="0.35">
      <c r="A213">
        <v>128.82495520000001</v>
      </c>
      <c r="B213">
        <v>10.660399999999999</v>
      </c>
    </row>
    <row r="214" spans="1:2" x14ac:dyDescent="0.35">
      <c r="A214">
        <v>131.8256739</v>
      </c>
      <c r="B214">
        <v>10.6609</v>
      </c>
    </row>
    <row r="215" spans="1:2" x14ac:dyDescent="0.35">
      <c r="A215">
        <v>134.89628830000001</v>
      </c>
      <c r="B215">
        <v>10.6614</v>
      </c>
    </row>
    <row r="216" spans="1:2" x14ac:dyDescent="0.35">
      <c r="A216">
        <v>138.03842650000001</v>
      </c>
      <c r="B216">
        <v>10.661799999999999</v>
      </c>
    </row>
    <row r="217" spans="1:2" x14ac:dyDescent="0.35">
      <c r="A217">
        <v>141.25375450000001</v>
      </c>
      <c r="B217">
        <v>10.6623</v>
      </c>
    </row>
    <row r="218" spans="1:2" x14ac:dyDescent="0.35">
      <c r="A218">
        <v>144.54397710000001</v>
      </c>
      <c r="B218">
        <v>10.662699999999999</v>
      </c>
    </row>
    <row r="219" spans="1:2" x14ac:dyDescent="0.35">
      <c r="A219">
        <v>147.91083879999999</v>
      </c>
      <c r="B219">
        <v>10.6631</v>
      </c>
    </row>
    <row r="220" spans="1:2" x14ac:dyDescent="0.35">
      <c r="A220">
        <v>151.3561248</v>
      </c>
      <c r="B220">
        <v>10.663500000000001</v>
      </c>
    </row>
    <row r="221" spans="1:2" x14ac:dyDescent="0.35">
      <c r="A221">
        <v>154.88166190000001</v>
      </c>
      <c r="B221">
        <v>10.6639</v>
      </c>
    </row>
    <row r="222" spans="1:2" x14ac:dyDescent="0.35">
      <c r="A222">
        <v>158.48931920000001</v>
      </c>
      <c r="B222">
        <v>10.664199999999999</v>
      </c>
    </row>
    <row r="223" spans="1:2" x14ac:dyDescent="0.35">
      <c r="A223">
        <v>162.1810097</v>
      </c>
      <c r="B223">
        <v>10.6645</v>
      </c>
    </row>
    <row r="224" spans="1:2" x14ac:dyDescent="0.35">
      <c r="A224">
        <v>165.95869070000001</v>
      </c>
      <c r="B224">
        <v>10.664899999999999</v>
      </c>
    </row>
    <row r="225" spans="1:2" x14ac:dyDescent="0.35">
      <c r="A225">
        <v>169.82436519999999</v>
      </c>
      <c r="B225">
        <v>10.6652</v>
      </c>
    </row>
    <row r="226" spans="1:2" x14ac:dyDescent="0.35">
      <c r="A226">
        <v>173.7800829</v>
      </c>
      <c r="B226">
        <v>10.6655</v>
      </c>
    </row>
    <row r="227" spans="1:2" x14ac:dyDescent="0.35">
      <c r="A227">
        <v>177.82794100000001</v>
      </c>
      <c r="B227">
        <v>10.665699999999999</v>
      </c>
    </row>
    <row r="228" spans="1:2" x14ac:dyDescent="0.35">
      <c r="A228">
        <v>181.97008589999999</v>
      </c>
      <c r="B228">
        <v>10.666</v>
      </c>
    </row>
    <row r="229" spans="1:2" x14ac:dyDescent="0.35">
      <c r="A229">
        <v>186.2087137</v>
      </c>
      <c r="B229">
        <v>10.6662</v>
      </c>
    </row>
    <row r="230" spans="1:2" x14ac:dyDescent="0.35">
      <c r="A230">
        <v>190.54607179999999</v>
      </c>
      <c r="B230">
        <v>10.666499999999999</v>
      </c>
    </row>
    <row r="231" spans="1:2" x14ac:dyDescent="0.35">
      <c r="A231">
        <v>194.98446000000001</v>
      </c>
      <c r="B231">
        <v>10.666700000000001</v>
      </c>
    </row>
    <row r="232" spans="1:2" x14ac:dyDescent="0.35">
      <c r="A232">
        <v>199.52623149999999</v>
      </c>
      <c r="B232">
        <v>10.6669</v>
      </c>
    </row>
    <row r="233" spans="1:2" x14ac:dyDescent="0.35">
      <c r="A233">
        <v>204.17379450000001</v>
      </c>
      <c r="B233">
        <v>10.6671</v>
      </c>
    </row>
    <row r="234" spans="1:2" x14ac:dyDescent="0.35">
      <c r="A234">
        <v>208.92961310000001</v>
      </c>
      <c r="B234">
        <v>10.667299999999999</v>
      </c>
    </row>
    <row r="235" spans="1:2" x14ac:dyDescent="0.35">
      <c r="A235">
        <v>213.796209</v>
      </c>
      <c r="B235">
        <v>10.6675</v>
      </c>
    </row>
    <row r="236" spans="1:2" x14ac:dyDescent="0.35">
      <c r="A236">
        <v>218.7761624</v>
      </c>
      <c r="B236">
        <v>10.6677</v>
      </c>
    </row>
    <row r="237" spans="1:2" x14ac:dyDescent="0.35">
      <c r="A237">
        <v>223.87211389999999</v>
      </c>
      <c r="B237">
        <v>10.6678</v>
      </c>
    </row>
    <row r="238" spans="1:2" x14ac:dyDescent="0.35">
      <c r="A238">
        <v>229.0867653</v>
      </c>
      <c r="B238">
        <v>10.667999999999999</v>
      </c>
    </row>
    <row r="239" spans="1:2" x14ac:dyDescent="0.35">
      <c r="A239">
        <v>234.42288149999999</v>
      </c>
      <c r="B239">
        <v>10.668200000000001</v>
      </c>
    </row>
    <row r="240" spans="1:2" x14ac:dyDescent="0.35">
      <c r="A240">
        <v>239.88329189999999</v>
      </c>
      <c r="B240">
        <v>10.6683</v>
      </c>
    </row>
    <row r="241" spans="1:2" x14ac:dyDescent="0.35">
      <c r="A241">
        <v>245.47089159999999</v>
      </c>
      <c r="B241">
        <v>10.6684</v>
      </c>
    </row>
    <row r="242" spans="1:2" x14ac:dyDescent="0.35">
      <c r="A242">
        <v>251.1886432</v>
      </c>
      <c r="B242">
        <v>10.6686</v>
      </c>
    </row>
    <row r="243" spans="1:2" x14ac:dyDescent="0.35">
      <c r="A243">
        <v>257.03957830000002</v>
      </c>
      <c r="B243">
        <v>10.668699999999999</v>
      </c>
    </row>
    <row r="244" spans="1:2" x14ac:dyDescent="0.35">
      <c r="A244">
        <v>263.02679920000003</v>
      </c>
      <c r="B244">
        <v>10.668799999999999</v>
      </c>
    </row>
    <row r="245" spans="1:2" x14ac:dyDescent="0.35">
      <c r="A245">
        <v>269.15348039999998</v>
      </c>
      <c r="B245">
        <v>10.668900000000001</v>
      </c>
    </row>
    <row r="246" spans="1:2" x14ac:dyDescent="0.35">
      <c r="A246">
        <v>275.4228703</v>
      </c>
      <c r="B246">
        <v>10.669</v>
      </c>
    </row>
    <row r="247" spans="1:2" x14ac:dyDescent="0.35">
      <c r="A247">
        <v>281.83829309999999</v>
      </c>
      <c r="B247">
        <v>10.6691</v>
      </c>
    </row>
    <row r="248" spans="1:2" x14ac:dyDescent="0.35">
      <c r="A248">
        <v>288.40315029999999</v>
      </c>
      <c r="B248">
        <v>10.6692</v>
      </c>
    </row>
    <row r="249" spans="1:2" x14ac:dyDescent="0.35">
      <c r="A249">
        <v>295.12092269999999</v>
      </c>
      <c r="B249">
        <v>10.6693</v>
      </c>
    </row>
    <row r="250" spans="1:2" x14ac:dyDescent="0.35">
      <c r="A250">
        <v>301.99517200000003</v>
      </c>
      <c r="B250">
        <v>10.6693</v>
      </c>
    </row>
    <row r="251" spans="1:2" x14ac:dyDescent="0.35">
      <c r="A251">
        <v>309.0295433</v>
      </c>
      <c r="B251">
        <v>10.6694</v>
      </c>
    </row>
    <row r="252" spans="1:2" x14ac:dyDescent="0.35">
      <c r="A252">
        <v>316.22776599999997</v>
      </c>
      <c r="B252">
        <v>10.669499999999999</v>
      </c>
    </row>
    <row r="253" spans="1:2" x14ac:dyDescent="0.35">
      <c r="A253">
        <v>323.59365689999998</v>
      </c>
      <c r="B253">
        <v>10.669499999999999</v>
      </c>
    </row>
    <row r="254" spans="1:2" x14ac:dyDescent="0.35">
      <c r="A254">
        <v>331.13112150000001</v>
      </c>
      <c r="B254">
        <v>10.669600000000001</v>
      </c>
    </row>
    <row r="255" spans="1:2" x14ac:dyDescent="0.35">
      <c r="A255">
        <v>338.84415610000002</v>
      </c>
      <c r="B255">
        <v>10.669600000000001</v>
      </c>
    </row>
    <row r="256" spans="1:2" x14ac:dyDescent="0.35">
      <c r="A256">
        <v>346.7368505</v>
      </c>
      <c r="B256">
        <v>10.669700000000001</v>
      </c>
    </row>
    <row r="257" spans="1:2" x14ac:dyDescent="0.35">
      <c r="A257">
        <v>354.81338920000002</v>
      </c>
      <c r="B257">
        <v>10.669700000000001</v>
      </c>
    </row>
    <row r="258" spans="1:2" x14ac:dyDescent="0.35">
      <c r="A258">
        <v>363.07805480000002</v>
      </c>
      <c r="B258">
        <v>10.669700000000001</v>
      </c>
    </row>
    <row r="259" spans="1:2" x14ac:dyDescent="0.35">
      <c r="A259">
        <v>371.53522909999998</v>
      </c>
      <c r="B259">
        <v>10.6698</v>
      </c>
    </row>
    <row r="260" spans="1:2" x14ac:dyDescent="0.35">
      <c r="A260">
        <v>380.1893963</v>
      </c>
      <c r="B260">
        <v>10.6698</v>
      </c>
    </row>
    <row r="261" spans="1:2" x14ac:dyDescent="0.35">
      <c r="A261">
        <v>389.04514499999999</v>
      </c>
      <c r="B261">
        <v>10.6698</v>
      </c>
    </row>
    <row r="262" spans="1:2" x14ac:dyDescent="0.35">
      <c r="A262">
        <v>398.10717060000002</v>
      </c>
      <c r="B262">
        <v>10.6698</v>
      </c>
    </row>
    <row r="263" spans="1:2" x14ac:dyDescent="0.35">
      <c r="A263">
        <v>407.38027779999999</v>
      </c>
      <c r="B263">
        <v>10.6699</v>
      </c>
    </row>
    <row r="264" spans="1:2" x14ac:dyDescent="0.35">
      <c r="A264">
        <v>416.86938350000003</v>
      </c>
      <c r="B264">
        <v>10.6699</v>
      </c>
    </row>
    <row r="265" spans="1:2" x14ac:dyDescent="0.35">
      <c r="A265">
        <v>426.57951880000002</v>
      </c>
      <c r="B265">
        <v>10.6699</v>
      </c>
    </row>
    <row r="266" spans="1:2" x14ac:dyDescent="0.35">
      <c r="A266">
        <v>436.51583219999998</v>
      </c>
      <c r="B266">
        <v>10.6699</v>
      </c>
    </row>
    <row r="267" spans="1:2" x14ac:dyDescent="0.35">
      <c r="A267">
        <v>446.68359220000002</v>
      </c>
      <c r="B267">
        <v>10.6699</v>
      </c>
    </row>
    <row r="268" spans="1:2" x14ac:dyDescent="0.35">
      <c r="A268">
        <v>457.08818960000002</v>
      </c>
      <c r="B268">
        <v>10.6698</v>
      </c>
    </row>
    <row r="269" spans="1:2" x14ac:dyDescent="0.35">
      <c r="A269">
        <v>467.73514130000001</v>
      </c>
      <c r="B269">
        <v>10.6698</v>
      </c>
    </row>
    <row r="270" spans="1:2" x14ac:dyDescent="0.35">
      <c r="A270">
        <v>478.6300923</v>
      </c>
      <c r="B270">
        <v>10.6698</v>
      </c>
    </row>
    <row r="271" spans="1:2" x14ac:dyDescent="0.35">
      <c r="A271">
        <v>489.77881939999997</v>
      </c>
      <c r="B271">
        <v>10.6698</v>
      </c>
    </row>
    <row r="272" spans="1:2" x14ac:dyDescent="0.35">
      <c r="A272">
        <v>501.18723360000001</v>
      </c>
      <c r="B272">
        <v>10.6698</v>
      </c>
    </row>
    <row r="273" spans="1:2" x14ac:dyDescent="0.35">
      <c r="A273">
        <v>512.86138400000004</v>
      </c>
      <c r="B273">
        <v>10.669700000000001</v>
      </c>
    </row>
    <row r="274" spans="1:2" x14ac:dyDescent="0.35">
      <c r="A274">
        <v>524.80746020000004</v>
      </c>
      <c r="B274">
        <v>10.669700000000001</v>
      </c>
    </row>
    <row r="275" spans="1:2" x14ac:dyDescent="0.35">
      <c r="A275">
        <v>537.03179639999996</v>
      </c>
      <c r="B275">
        <v>10.669700000000001</v>
      </c>
    </row>
    <row r="276" spans="1:2" x14ac:dyDescent="0.35">
      <c r="A276">
        <v>549.54087389999995</v>
      </c>
      <c r="B276">
        <v>10.669600000000001</v>
      </c>
    </row>
    <row r="277" spans="1:2" x14ac:dyDescent="0.35">
      <c r="A277">
        <v>562.34132520000003</v>
      </c>
      <c r="B277">
        <v>10.669600000000001</v>
      </c>
    </row>
    <row r="278" spans="1:2" x14ac:dyDescent="0.35">
      <c r="A278">
        <v>575.4399373</v>
      </c>
      <c r="B278">
        <v>10.669499999999999</v>
      </c>
    </row>
    <row r="279" spans="1:2" x14ac:dyDescent="0.35">
      <c r="A279">
        <v>588.84365539999999</v>
      </c>
      <c r="B279">
        <v>10.6694</v>
      </c>
    </row>
    <row r="280" spans="1:2" x14ac:dyDescent="0.35">
      <c r="A280">
        <v>602.55958610000005</v>
      </c>
      <c r="B280">
        <v>10.6694</v>
      </c>
    </row>
    <row r="281" spans="1:2" x14ac:dyDescent="0.35">
      <c r="A281">
        <v>616.59500190000006</v>
      </c>
      <c r="B281">
        <v>10.6693</v>
      </c>
    </row>
    <row r="282" spans="1:2" x14ac:dyDescent="0.35">
      <c r="A282">
        <v>630.95734449999998</v>
      </c>
      <c r="B282">
        <v>10.6692</v>
      </c>
    </row>
    <row r="283" spans="1:2" x14ac:dyDescent="0.35">
      <c r="A283">
        <v>645.65422899999999</v>
      </c>
      <c r="B283">
        <v>10.6691</v>
      </c>
    </row>
    <row r="284" spans="1:2" x14ac:dyDescent="0.35">
      <c r="A284">
        <v>660.69344799999999</v>
      </c>
      <c r="B284">
        <v>10.669</v>
      </c>
    </row>
    <row r="285" spans="1:2" x14ac:dyDescent="0.35">
      <c r="A285">
        <v>676.08297540000001</v>
      </c>
      <c r="B285">
        <v>10.668900000000001</v>
      </c>
    </row>
    <row r="286" spans="1:2" x14ac:dyDescent="0.35">
      <c r="A286">
        <v>691.83097090000001</v>
      </c>
      <c r="B286">
        <v>10.668799999999999</v>
      </c>
    </row>
    <row r="287" spans="1:2" x14ac:dyDescent="0.35">
      <c r="A287">
        <v>707.94578439999998</v>
      </c>
      <c r="B287">
        <v>10.668699999999999</v>
      </c>
    </row>
    <row r="288" spans="1:2" x14ac:dyDescent="0.35">
      <c r="A288">
        <v>724.43596009999999</v>
      </c>
      <c r="B288">
        <v>10.6686</v>
      </c>
    </row>
    <row r="289" spans="1:2" x14ac:dyDescent="0.35">
      <c r="A289">
        <v>741.31024130000003</v>
      </c>
      <c r="B289">
        <v>10.6685</v>
      </c>
    </row>
    <row r="290" spans="1:2" x14ac:dyDescent="0.35">
      <c r="A290">
        <v>758.57757500000002</v>
      </c>
      <c r="B290">
        <v>10.6684</v>
      </c>
    </row>
    <row r="291" spans="1:2" x14ac:dyDescent="0.35">
      <c r="A291">
        <v>776.24711660000003</v>
      </c>
      <c r="B291">
        <v>10.668200000000001</v>
      </c>
    </row>
    <row r="292" spans="1:2" x14ac:dyDescent="0.35">
      <c r="A292">
        <v>794.32823470000005</v>
      </c>
      <c r="B292">
        <v>10.668100000000001</v>
      </c>
    </row>
    <row r="293" spans="1:2" x14ac:dyDescent="0.35">
      <c r="A293">
        <v>812.83051620000003</v>
      </c>
      <c r="B293">
        <v>10.667899999999999</v>
      </c>
    </row>
    <row r="294" spans="1:2" x14ac:dyDescent="0.35">
      <c r="A294">
        <v>831.76377109999999</v>
      </c>
      <c r="B294">
        <v>10.6678</v>
      </c>
    </row>
    <row r="295" spans="1:2" x14ac:dyDescent="0.35">
      <c r="A295">
        <v>851.13803819999998</v>
      </c>
      <c r="B295">
        <v>10.6676</v>
      </c>
    </row>
    <row r="296" spans="1:2" x14ac:dyDescent="0.35">
      <c r="A296">
        <v>870.96358999999995</v>
      </c>
      <c r="B296">
        <v>10.667400000000001</v>
      </c>
    </row>
    <row r="297" spans="1:2" x14ac:dyDescent="0.35">
      <c r="A297">
        <v>891.25093809999998</v>
      </c>
      <c r="B297">
        <v>10.667199999999999</v>
      </c>
    </row>
    <row r="298" spans="1:2" x14ac:dyDescent="0.35">
      <c r="A298">
        <v>912.01083940000001</v>
      </c>
      <c r="B298">
        <v>10.667</v>
      </c>
    </row>
    <row r="299" spans="1:2" x14ac:dyDescent="0.35">
      <c r="A299">
        <v>933.25430080000001</v>
      </c>
      <c r="B299">
        <v>10.6668</v>
      </c>
    </row>
    <row r="300" spans="1:2" x14ac:dyDescent="0.35">
      <c r="A300">
        <v>954.99258599999996</v>
      </c>
      <c r="B300">
        <v>10.666600000000001</v>
      </c>
    </row>
    <row r="301" spans="1:2" x14ac:dyDescent="0.35">
      <c r="A301">
        <v>977.23722099999998</v>
      </c>
      <c r="B301">
        <v>10.666399999999999</v>
      </c>
    </row>
    <row r="302" spans="1:2" x14ac:dyDescent="0.35">
      <c r="A302">
        <v>1000</v>
      </c>
      <c r="B302">
        <v>10.6661</v>
      </c>
    </row>
    <row r="303" spans="1:2" x14ac:dyDescent="0.35">
      <c r="A303">
        <v>1023.292992</v>
      </c>
      <c r="B303">
        <v>10.665900000000001</v>
      </c>
    </row>
    <row r="304" spans="1:2" x14ac:dyDescent="0.35">
      <c r="A304">
        <v>1047.1285479999999</v>
      </c>
      <c r="B304">
        <v>10.6656</v>
      </c>
    </row>
    <row r="305" spans="1:2" x14ac:dyDescent="0.35">
      <c r="A305">
        <v>1071.519305</v>
      </c>
      <c r="B305">
        <v>10.6653</v>
      </c>
    </row>
    <row r="306" spans="1:2" x14ac:dyDescent="0.35">
      <c r="A306">
        <v>1096.478196</v>
      </c>
      <c r="B306">
        <v>10.664999999999999</v>
      </c>
    </row>
    <row r="307" spans="1:2" x14ac:dyDescent="0.35">
      <c r="A307">
        <v>1122.018454</v>
      </c>
      <c r="B307">
        <v>10.6647</v>
      </c>
    </row>
    <row r="308" spans="1:2" x14ac:dyDescent="0.35">
      <c r="A308">
        <v>1148.1536209999999</v>
      </c>
      <c r="B308">
        <v>10.664400000000001</v>
      </c>
    </row>
    <row r="309" spans="1:2" x14ac:dyDescent="0.35">
      <c r="A309">
        <v>1174.897555</v>
      </c>
      <c r="B309">
        <v>10.664</v>
      </c>
    </row>
    <row r="310" spans="1:2" x14ac:dyDescent="0.35">
      <c r="A310">
        <v>1202.264435</v>
      </c>
      <c r="B310">
        <v>10.6637</v>
      </c>
    </row>
    <row r="311" spans="1:2" x14ac:dyDescent="0.35">
      <c r="A311">
        <v>1230.268771</v>
      </c>
      <c r="B311">
        <v>10.6633</v>
      </c>
    </row>
    <row r="312" spans="1:2" x14ac:dyDescent="0.35">
      <c r="A312">
        <v>1258.9254120000001</v>
      </c>
      <c r="B312">
        <v>10.6629</v>
      </c>
    </row>
    <row r="313" spans="1:2" x14ac:dyDescent="0.35">
      <c r="A313">
        <v>1288.249552</v>
      </c>
      <c r="B313">
        <v>10.6625</v>
      </c>
    </row>
    <row r="314" spans="1:2" x14ac:dyDescent="0.35">
      <c r="A314">
        <v>1318.2567389999999</v>
      </c>
      <c r="B314">
        <v>10.662000000000001</v>
      </c>
    </row>
    <row r="315" spans="1:2" x14ac:dyDescent="0.35">
      <c r="A315">
        <v>1348.9628829999999</v>
      </c>
      <c r="B315">
        <v>10.6616</v>
      </c>
    </row>
    <row r="316" spans="1:2" x14ac:dyDescent="0.35">
      <c r="A316">
        <v>1380.3842649999999</v>
      </c>
      <c r="B316">
        <v>10.661099999999999</v>
      </c>
    </row>
    <row r="317" spans="1:2" x14ac:dyDescent="0.35">
      <c r="A317">
        <v>1412.5375449999999</v>
      </c>
      <c r="B317">
        <v>10.660600000000001</v>
      </c>
    </row>
    <row r="318" spans="1:2" x14ac:dyDescent="0.35">
      <c r="A318">
        <v>1445.4397710000001</v>
      </c>
      <c r="B318">
        <v>10.6601</v>
      </c>
    </row>
    <row r="319" spans="1:2" x14ac:dyDescent="0.35">
      <c r="A319">
        <v>1479.1083880000001</v>
      </c>
      <c r="B319">
        <v>10.6595</v>
      </c>
    </row>
    <row r="320" spans="1:2" x14ac:dyDescent="0.35">
      <c r="A320">
        <v>1513.561248</v>
      </c>
      <c r="B320">
        <v>10.659000000000001</v>
      </c>
    </row>
    <row r="321" spans="1:2" x14ac:dyDescent="0.35">
      <c r="A321">
        <v>1548.8166189999999</v>
      </c>
      <c r="B321">
        <v>10.6584</v>
      </c>
    </row>
    <row r="322" spans="1:2" x14ac:dyDescent="0.35">
      <c r="A322">
        <v>1584.893192</v>
      </c>
      <c r="B322">
        <v>10.6577</v>
      </c>
    </row>
    <row r="323" spans="1:2" x14ac:dyDescent="0.35">
      <c r="A323">
        <v>1621.810097</v>
      </c>
      <c r="B323">
        <v>10.6571</v>
      </c>
    </row>
    <row r="324" spans="1:2" x14ac:dyDescent="0.35">
      <c r="A324">
        <v>1659.5869070000001</v>
      </c>
      <c r="B324">
        <v>10.6564</v>
      </c>
    </row>
    <row r="325" spans="1:2" x14ac:dyDescent="0.35">
      <c r="A325">
        <v>1698.2436520000001</v>
      </c>
      <c r="B325">
        <v>10.6556</v>
      </c>
    </row>
    <row r="326" spans="1:2" x14ac:dyDescent="0.35">
      <c r="A326">
        <v>1737.800829</v>
      </c>
      <c r="B326">
        <v>10.6549</v>
      </c>
    </row>
    <row r="327" spans="1:2" x14ac:dyDescent="0.35">
      <c r="A327">
        <v>1778.2794100000001</v>
      </c>
      <c r="B327">
        <v>10.6541</v>
      </c>
    </row>
    <row r="328" spans="1:2" x14ac:dyDescent="0.35">
      <c r="A328">
        <v>1819.700859</v>
      </c>
      <c r="B328">
        <v>10.6533</v>
      </c>
    </row>
    <row r="329" spans="1:2" x14ac:dyDescent="0.35">
      <c r="A329">
        <v>1862.087137</v>
      </c>
      <c r="B329">
        <v>10.6524</v>
      </c>
    </row>
    <row r="330" spans="1:2" x14ac:dyDescent="0.35">
      <c r="A330">
        <v>1905.460718</v>
      </c>
      <c r="B330">
        <v>10.6515</v>
      </c>
    </row>
    <row r="331" spans="1:2" x14ac:dyDescent="0.35">
      <c r="A331">
        <v>1949.8445999999999</v>
      </c>
      <c r="B331">
        <v>10.650499999999999</v>
      </c>
    </row>
    <row r="332" spans="1:2" x14ac:dyDescent="0.35">
      <c r="A332">
        <v>1995.2623149999999</v>
      </c>
      <c r="B332">
        <v>10.6495</v>
      </c>
    </row>
    <row r="333" spans="1:2" x14ac:dyDescent="0.35">
      <c r="A333">
        <v>2041.7379450000001</v>
      </c>
      <c r="B333">
        <v>10.6485</v>
      </c>
    </row>
    <row r="334" spans="1:2" x14ac:dyDescent="0.35">
      <c r="A334">
        <v>2089.2961310000001</v>
      </c>
      <c r="B334">
        <v>10.647399999999999</v>
      </c>
    </row>
    <row r="335" spans="1:2" x14ac:dyDescent="0.35">
      <c r="A335">
        <v>2137.96209</v>
      </c>
      <c r="B335">
        <v>10.6462</v>
      </c>
    </row>
    <row r="336" spans="1:2" x14ac:dyDescent="0.35">
      <c r="A336">
        <v>2187.7616240000002</v>
      </c>
      <c r="B336">
        <v>10.645</v>
      </c>
    </row>
    <row r="337" spans="1:2" x14ac:dyDescent="0.35">
      <c r="A337">
        <v>2238.7211390000002</v>
      </c>
      <c r="B337">
        <v>10.643700000000001</v>
      </c>
    </row>
    <row r="338" spans="1:2" x14ac:dyDescent="0.35">
      <c r="A338">
        <v>2290.8676529999998</v>
      </c>
      <c r="B338">
        <v>10.6424</v>
      </c>
    </row>
    <row r="339" spans="1:2" x14ac:dyDescent="0.35">
      <c r="A339">
        <v>2344.2288149999999</v>
      </c>
      <c r="B339">
        <v>10.641</v>
      </c>
    </row>
    <row r="340" spans="1:2" x14ac:dyDescent="0.35">
      <c r="A340">
        <v>2398.8329189999999</v>
      </c>
      <c r="B340">
        <v>10.6396</v>
      </c>
    </row>
    <row r="341" spans="1:2" x14ac:dyDescent="0.35">
      <c r="A341">
        <v>2454.708916</v>
      </c>
      <c r="B341">
        <v>10.6381</v>
      </c>
    </row>
    <row r="342" spans="1:2" x14ac:dyDescent="0.35">
      <c r="A342">
        <v>2511.8864319999998</v>
      </c>
      <c r="B342">
        <v>10.6365</v>
      </c>
    </row>
    <row r="343" spans="1:2" x14ac:dyDescent="0.35">
      <c r="A343">
        <v>2570.3957829999999</v>
      </c>
      <c r="B343">
        <v>10.6348</v>
      </c>
    </row>
    <row r="344" spans="1:2" x14ac:dyDescent="0.35">
      <c r="A344">
        <v>2630.267992</v>
      </c>
      <c r="B344">
        <v>10.633100000000001</v>
      </c>
    </row>
    <row r="345" spans="1:2" x14ac:dyDescent="0.35">
      <c r="A345">
        <v>2691.5348039999999</v>
      </c>
      <c r="B345">
        <v>10.6313</v>
      </c>
    </row>
    <row r="346" spans="1:2" x14ac:dyDescent="0.35">
      <c r="A346">
        <v>2754.2287030000002</v>
      </c>
      <c r="B346">
        <v>10.6294</v>
      </c>
    </row>
    <row r="347" spans="1:2" x14ac:dyDescent="0.35">
      <c r="A347">
        <v>2818.3829310000001</v>
      </c>
      <c r="B347">
        <v>10.6274</v>
      </c>
    </row>
    <row r="348" spans="1:2" x14ac:dyDescent="0.35">
      <c r="A348">
        <v>2884.0315030000002</v>
      </c>
      <c r="B348">
        <v>10.625299999999999</v>
      </c>
    </row>
    <row r="349" spans="1:2" x14ac:dyDescent="0.35">
      <c r="A349">
        <v>2951.2092269999998</v>
      </c>
      <c r="B349">
        <v>10.623100000000001</v>
      </c>
    </row>
    <row r="350" spans="1:2" x14ac:dyDescent="0.35">
      <c r="A350">
        <v>3019.95172</v>
      </c>
      <c r="B350">
        <v>10.620799999999999</v>
      </c>
    </row>
    <row r="351" spans="1:2" x14ac:dyDescent="0.35">
      <c r="A351">
        <v>3090.2954329999998</v>
      </c>
      <c r="B351">
        <v>10.618399999999999</v>
      </c>
    </row>
    <row r="352" spans="1:2" x14ac:dyDescent="0.35">
      <c r="A352">
        <v>3162.2776600000002</v>
      </c>
      <c r="B352">
        <v>10.6159</v>
      </c>
    </row>
    <row r="353" spans="1:2" x14ac:dyDescent="0.35">
      <c r="A353">
        <v>3235.936569</v>
      </c>
      <c r="B353">
        <v>10.613300000000001</v>
      </c>
    </row>
    <row r="354" spans="1:2" x14ac:dyDescent="0.35">
      <c r="A354">
        <v>3311.3112150000002</v>
      </c>
      <c r="B354">
        <v>10.6105</v>
      </c>
    </row>
    <row r="355" spans="1:2" x14ac:dyDescent="0.35">
      <c r="A355">
        <v>3388.4415610000001</v>
      </c>
      <c r="B355">
        <v>10.607699999999999</v>
      </c>
    </row>
    <row r="356" spans="1:2" x14ac:dyDescent="0.35">
      <c r="A356">
        <v>3467.3685049999999</v>
      </c>
      <c r="B356">
        <v>10.604699999999999</v>
      </c>
    </row>
    <row r="357" spans="1:2" x14ac:dyDescent="0.35">
      <c r="A357">
        <v>3548.1338919999998</v>
      </c>
      <c r="B357">
        <v>10.6015</v>
      </c>
    </row>
    <row r="358" spans="1:2" x14ac:dyDescent="0.35">
      <c r="A358">
        <v>3630.7805480000002</v>
      </c>
      <c r="B358">
        <v>10.5982</v>
      </c>
    </row>
    <row r="359" spans="1:2" x14ac:dyDescent="0.35">
      <c r="A359">
        <v>3715.3522910000002</v>
      </c>
      <c r="B359">
        <v>10.594799999999999</v>
      </c>
    </row>
    <row r="360" spans="1:2" x14ac:dyDescent="0.35">
      <c r="A360">
        <v>3801.893963</v>
      </c>
      <c r="B360">
        <v>10.591200000000001</v>
      </c>
    </row>
    <row r="361" spans="1:2" x14ac:dyDescent="0.35">
      <c r="A361">
        <v>3890.45145</v>
      </c>
      <c r="B361">
        <v>10.587400000000001</v>
      </c>
    </row>
    <row r="362" spans="1:2" x14ac:dyDescent="0.35">
      <c r="A362">
        <v>3981.0717060000002</v>
      </c>
      <c r="B362">
        <v>10.583500000000001</v>
      </c>
    </row>
    <row r="363" spans="1:2" x14ac:dyDescent="0.35">
      <c r="A363">
        <v>4073.8027780000002</v>
      </c>
      <c r="B363">
        <v>10.5794</v>
      </c>
    </row>
    <row r="364" spans="1:2" x14ac:dyDescent="0.35">
      <c r="A364">
        <v>4168.693835</v>
      </c>
      <c r="B364">
        <v>10.575100000000001</v>
      </c>
    </row>
    <row r="365" spans="1:2" x14ac:dyDescent="0.35">
      <c r="A365">
        <v>4265.7951880000001</v>
      </c>
      <c r="B365">
        <v>10.570499999999999</v>
      </c>
    </row>
    <row r="366" spans="1:2" x14ac:dyDescent="0.35">
      <c r="A366">
        <v>4365.1583220000002</v>
      </c>
      <c r="B366">
        <v>10.565799999999999</v>
      </c>
    </row>
    <row r="367" spans="1:2" x14ac:dyDescent="0.35">
      <c r="A367">
        <v>4466.8359220000002</v>
      </c>
      <c r="B367">
        <v>10.5609</v>
      </c>
    </row>
    <row r="368" spans="1:2" x14ac:dyDescent="0.35">
      <c r="A368">
        <v>4570.8818959999999</v>
      </c>
      <c r="B368">
        <v>10.5557</v>
      </c>
    </row>
    <row r="369" spans="1:2" x14ac:dyDescent="0.35">
      <c r="A369">
        <v>4677.3514130000003</v>
      </c>
      <c r="B369">
        <v>10.5503</v>
      </c>
    </row>
    <row r="370" spans="1:2" x14ac:dyDescent="0.35">
      <c r="A370">
        <v>4786.3009229999998</v>
      </c>
      <c r="B370">
        <v>10.544700000000001</v>
      </c>
    </row>
    <row r="371" spans="1:2" x14ac:dyDescent="0.35">
      <c r="A371">
        <v>4897.7881939999997</v>
      </c>
      <c r="B371">
        <v>10.5388</v>
      </c>
    </row>
    <row r="372" spans="1:2" x14ac:dyDescent="0.35">
      <c r="A372">
        <v>5011.8723360000004</v>
      </c>
      <c r="B372">
        <v>10.5326</v>
      </c>
    </row>
    <row r="373" spans="1:2" x14ac:dyDescent="0.35">
      <c r="A373">
        <v>5128.61384</v>
      </c>
      <c r="B373">
        <v>10.5261</v>
      </c>
    </row>
    <row r="374" spans="1:2" x14ac:dyDescent="0.35">
      <c r="A374">
        <v>5248.0746019999997</v>
      </c>
      <c r="B374">
        <v>10.519399999999999</v>
      </c>
    </row>
    <row r="375" spans="1:2" x14ac:dyDescent="0.35">
      <c r="A375">
        <v>5370.3179639999998</v>
      </c>
      <c r="B375">
        <v>10.5123</v>
      </c>
    </row>
    <row r="376" spans="1:2" x14ac:dyDescent="0.35">
      <c r="A376">
        <v>5495.4087390000004</v>
      </c>
      <c r="B376">
        <v>10.504899999999999</v>
      </c>
    </row>
    <row r="377" spans="1:2" x14ac:dyDescent="0.35">
      <c r="A377">
        <v>5623.4132520000003</v>
      </c>
      <c r="B377">
        <v>10.497199999999999</v>
      </c>
    </row>
    <row r="378" spans="1:2" x14ac:dyDescent="0.35">
      <c r="A378">
        <v>5754.3993730000002</v>
      </c>
      <c r="B378">
        <v>10.4892</v>
      </c>
    </row>
    <row r="379" spans="1:2" x14ac:dyDescent="0.35">
      <c r="A379">
        <v>5888.4365539999999</v>
      </c>
      <c r="B379">
        <v>10.480700000000001</v>
      </c>
    </row>
    <row r="380" spans="1:2" x14ac:dyDescent="0.35">
      <c r="A380">
        <v>6025.5958609999998</v>
      </c>
      <c r="B380">
        <v>10.4719</v>
      </c>
    </row>
    <row r="381" spans="1:2" x14ac:dyDescent="0.35">
      <c r="A381">
        <v>6165.9500189999999</v>
      </c>
      <c r="B381">
        <v>10.4627</v>
      </c>
    </row>
    <row r="382" spans="1:2" x14ac:dyDescent="0.35">
      <c r="A382">
        <v>6309.573445</v>
      </c>
      <c r="B382">
        <v>10.453099999999999</v>
      </c>
    </row>
    <row r="383" spans="1:2" x14ac:dyDescent="0.35">
      <c r="A383">
        <v>6456.5422900000003</v>
      </c>
      <c r="B383">
        <v>10.443099999999999</v>
      </c>
    </row>
    <row r="384" spans="1:2" x14ac:dyDescent="0.35">
      <c r="A384">
        <v>6606.9344799999999</v>
      </c>
      <c r="B384">
        <v>10.432600000000001</v>
      </c>
    </row>
    <row r="385" spans="1:2" x14ac:dyDescent="0.35">
      <c r="A385">
        <v>6760.8297540000003</v>
      </c>
      <c r="B385">
        <v>10.4216</v>
      </c>
    </row>
    <row r="386" spans="1:2" x14ac:dyDescent="0.35">
      <c r="A386">
        <v>6918.3097090000001</v>
      </c>
      <c r="B386">
        <v>10.4102</v>
      </c>
    </row>
    <row r="387" spans="1:2" x14ac:dyDescent="0.35">
      <c r="A387">
        <v>7079.4578439999996</v>
      </c>
      <c r="B387">
        <v>10.398199999999999</v>
      </c>
    </row>
    <row r="388" spans="1:2" x14ac:dyDescent="0.35">
      <c r="A388">
        <v>7244.3596010000001</v>
      </c>
      <c r="B388">
        <v>10.3857</v>
      </c>
    </row>
    <row r="389" spans="1:2" x14ac:dyDescent="0.35">
      <c r="A389">
        <v>7413.1024129999996</v>
      </c>
      <c r="B389">
        <v>10.3727</v>
      </c>
    </row>
    <row r="390" spans="1:2" x14ac:dyDescent="0.35">
      <c r="A390">
        <v>7585.7757499999998</v>
      </c>
      <c r="B390">
        <v>10.3591</v>
      </c>
    </row>
    <row r="391" spans="1:2" x14ac:dyDescent="0.35">
      <c r="A391">
        <v>7762.4711660000003</v>
      </c>
      <c r="B391">
        <v>10.344900000000001</v>
      </c>
    </row>
    <row r="392" spans="1:2" x14ac:dyDescent="0.35">
      <c r="A392">
        <v>7943.2823470000003</v>
      </c>
      <c r="B392">
        <v>10.3301</v>
      </c>
    </row>
    <row r="393" spans="1:2" x14ac:dyDescent="0.35">
      <c r="A393">
        <v>8128.3051619999997</v>
      </c>
      <c r="B393">
        <v>10.3146</v>
      </c>
    </row>
    <row r="394" spans="1:2" x14ac:dyDescent="0.35">
      <c r="A394">
        <v>8317.6377109999994</v>
      </c>
      <c r="B394">
        <v>10.298500000000001</v>
      </c>
    </row>
    <row r="395" spans="1:2" x14ac:dyDescent="0.35">
      <c r="A395">
        <v>8511.3803819999994</v>
      </c>
      <c r="B395">
        <v>10.281599999999999</v>
      </c>
    </row>
    <row r="396" spans="1:2" x14ac:dyDescent="0.35">
      <c r="A396">
        <v>8709.6358999999993</v>
      </c>
      <c r="B396">
        <v>10.264099999999999</v>
      </c>
    </row>
    <row r="397" spans="1:2" x14ac:dyDescent="0.35">
      <c r="A397">
        <v>8912.5093809999998</v>
      </c>
      <c r="B397">
        <v>10.245799999999999</v>
      </c>
    </row>
    <row r="398" spans="1:2" x14ac:dyDescent="0.35">
      <c r="A398">
        <v>9120.1083940000008</v>
      </c>
      <c r="B398">
        <v>10.226699999999999</v>
      </c>
    </row>
    <row r="399" spans="1:2" x14ac:dyDescent="0.35">
      <c r="A399">
        <v>9332.5430080000006</v>
      </c>
      <c r="B399">
        <v>10.206799999999999</v>
      </c>
    </row>
    <row r="400" spans="1:2" x14ac:dyDescent="0.35">
      <c r="A400">
        <v>9549.9258599999994</v>
      </c>
      <c r="B400">
        <v>10.186</v>
      </c>
    </row>
    <row r="401" spans="1:2" x14ac:dyDescent="0.35">
      <c r="A401">
        <v>9772.3722099999995</v>
      </c>
      <c r="B401">
        <v>10.164400000000001</v>
      </c>
    </row>
    <row r="402" spans="1:2" x14ac:dyDescent="0.35">
      <c r="A402">
        <v>10000</v>
      </c>
      <c r="B402">
        <v>10.1419</v>
      </c>
    </row>
    <row r="403" spans="1:2" x14ac:dyDescent="0.35">
      <c r="A403">
        <v>10232.92992</v>
      </c>
      <c r="B403">
        <v>10.118399999999999</v>
      </c>
    </row>
    <row r="404" spans="1:2" x14ac:dyDescent="0.35">
      <c r="A404">
        <v>10471.28548</v>
      </c>
      <c r="B404">
        <v>10.093999999999999</v>
      </c>
    </row>
    <row r="405" spans="1:2" x14ac:dyDescent="0.35">
      <c r="A405">
        <v>10715.19305</v>
      </c>
      <c r="B405">
        <v>10.0686</v>
      </c>
    </row>
    <row r="406" spans="1:2" x14ac:dyDescent="0.35">
      <c r="A406">
        <v>10964.78196</v>
      </c>
      <c r="B406">
        <v>10.0421</v>
      </c>
    </row>
    <row r="407" spans="1:2" x14ac:dyDescent="0.35">
      <c r="A407">
        <v>11220.18454</v>
      </c>
      <c r="B407">
        <v>10.0146</v>
      </c>
    </row>
    <row r="408" spans="1:2" x14ac:dyDescent="0.35">
      <c r="A408">
        <v>11481.53621</v>
      </c>
      <c r="B408">
        <v>9.9859299999999998</v>
      </c>
    </row>
    <row r="409" spans="1:2" x14ac:dyDescent="0.35">
      <c r="A409">
        <v>11748.975549999999</v>
      </c>
      <c r="B409">
        <v>9.9561299999999999</v>
      </c>
    </row>
    <row r="410" spans="1:2" x14ac:dyDescent="0.35">
      <c r="A410">
        <v>12022.64435</v>
      </c>
      <c r="B410">
        <v>9.9251400000000007</v>
      </c>
    </row>
    <row r="411" spans="1:2" x14ac:dyDescent="0.35">
      <c r="A411">
        <v>12302.68771</v>
      </c>
      <c r="B411">
        <v>9.8929200000000002</v>
      </c>
    </row>
    <row r="412" spans="1:2" x14ac:dyDescent="0.35">
      <c r="A412">
        <v>12589.25412</v>
      </c>
      <c r="B412">
        <v>9.8594399999999993</v>
      </c>
    </row>
    <row r="413" spans="1:2" x14ac:dyDescent="0.35">
      <c r="A413">
        <v>12882.49552</v>
      </c>
      <c r="B413">
        <v>9.8246599999999997</v>
      </c>
    </row>
    <row r="414" spans="1:2" x14ac:dyDescent="0.35">
      <c r="A414">
        <v>13182.56739</v>
      </c>
      <c r="B414">
        <v>9.7885299999999997</v>
      </c>
    </row>
    <row r="415" spans="1:2" x14ac:dyDescent="0.35">
      <c r="A415">
        <v>13489.62883</v>
      </c>
      <c r="B415">
        <v>9.7510200000000005</v>
      </c>
    </row>
    <row r="416" spans="1:2" x14ac:dyDescent="0.35">
      <c r="A416">
        <v>13803.842650000001</v>
      </c>
      <c r="B416">
        <v>9.7120899999999999</v>
      </c>
    </row>
    <row r="417" spans="1:2" x14ac:dyDescent="0.35">
      <c r="A417">
        <v>14125.37545</v>
      </c>
      <c r="B417">
        <v>9.6716899999999999</v>
      </c>
    </row>
    <row r="418" spans="1:2" x14ac:dyDescent="0.35">
      <c r="A418">
        <v>14454.397709999999</v>
      </c>
      <c r="B418">
        <v>9.6297899999999998</v>
      </c>
    </row>
    <row r="419" spans="1:2" x14ac:dyDescent="0.35">
      <c r="A419">
        <v>14791.08388</v>
      </c>
      <c r="B419">
        <v>9.5863399999999999</v>
      </c>
    </row>
    <row r="420" spans="1:2" x14ac:dyDescent="0.35">
      <c r="A420">
        <v>15135.61248</v>
      </c>
      <c r="B420">
        <v>9.5413099999999993</v>
      </c>
    </row>
    <row r="421" spans="1:2" x14ac:dyDescent="0.35">
      <c r="A421">
        <v>15488.16619</v>
      </c>
      <c r="B421">
        <v>9.4946400000000004</v>
      </c>
    </row>
    <row r="422" spans="1:2" x14ac:dyDescent="0.35">
      <c r="A422">
        <v>15848.931920000001</v>
      </c>
      <c r="B422">
        <v>9.4463200000000001</v>
      </c>
    </row>
    <row r="423" spans="1:2" x14ac:dyDescent="0.35">
      <c r="A423">
        <v>16218.10097</v>
      </c>
      <c r="B423">
        <v>9.3962800000000009</v>
      </c>
    </row>
    <row r="424" spans="1:2" x14ac:dyDescent="0.35">
      <c r="A424">
        <v>16595.869070000001</v>
      </c>
      <c r="B424">
        <v>9.3444900000000004</v>
      </c>
    </row>
    <row r="425" spans="1:2" x14ac:dyDescent="0.35">
      <c r="A425">
        <v>16982.436519999999</v>
      </c>
      <c r="B425">
        <v>9.2909199999999998</v>
      </c>
    </row>
    <row r="426" spans="1:2" x14ac:dyDescent="0.35">
      <c r="A426">
        <v>17378.008290000002</v>
      </c>
      <c r="B426">
        <v>9.2355300000000007</v>
      </c>
    </row>
    <row r="427" spans="1:2" x14ac:dyDescent="0.35">
      <c r="A427">
        <v>17782.794099999999</v>
      </c>
      <c r="B427">
        <v>9.1782699999999995</v>
      </c>
    </row>
    <row r="428" spans="1:2" x14ac:dyDescent="0.35">
      <c r="A428">
        <v>18197.008590000001</v>
      </c>
      <c r="B428">
        <v>9.1191099999999992</v>
      </c>
    </row>
    <row r="429" spans="1:2" x14ac:dyDescent="0.35">
      <c r="A429">
        <v>18620.871370000001</v>
      </c>
      <c r="B429">
        <v>9.0580099999999995</v>
      </c>
    </row>
    <row r="430" spans="1:2" x14ac:dyDescent="0.35">
      <c r="A430">
        <v>19054.607179999999</v>
      </c>
      <c r="B430">
        <v>8.9949399999999997</v>
      </c>
    </row>
    <row r="431" spans="1:2" x14ac:dyDescent="0.35">
      <c r="A431">
        <v>19498.446</v>
      </c>
      <c r="B431">
        <v>8.9298699999999993</v>
      </c>
    </row>
    <row r="432" spans="1:2" x14ac:dyDescent="0.35">
      <c r="A432">
        <v>19952.623149999999</v>
      </c>
      <c r="B432">
        <v>8.8627599999999997</v>
      </c>
    </row>
    <row r="433" spans="1:2" x14ac:dyDescent="0.35">
      <c r="A433">
        <v>20417.37945</v>
      </c>
      <c r="B433">
        <v>8.7935800000000004</v>
      </c>
    </row>
    <row r="434" spans="1:2" x14ac:dyDescent="0.35">
      <c r="A434">
        <v>20892.961309999999</v>
      </c>
      <c r="B434">
        <v>8.7223100000000002</v>
      </c>
    </row>
    <row r="435" spans="1:2" x14ac:dyDescent="0.35">
      <c r="A435">
        <v>21379.620900000002</v>
      </c>
      <c r="B435">
        <v>8.6488999999999994</v>
      </c>
    </row>
    <row r="436" spans="1:2" x14ac:dyDescent="0.35">
      <c r="A436">
        <v>21877.616239999999</v>
      </c>
      <c r="B436">
        <v>8.5733499999999996</v>
      </c>
    </row>
    <row r="437" spans="1:2" x14ac:dyDescent="0.35">
      <c r="A437">
        <v>22387.21139</v>
      </c>
      <c r="B437">
        <v>8.4956200000000006</v>
      </c>
    </row>
    <row r="438" spans="1:2" x14ac:dyDescent="0.35">
      <c r="A438">
        <v>22908.676530000001</v>
      </c>
      <c r="B438">
        <v>8.4156899999999997</v>
      </c>
    </row>
    <row r="439" spans="1:2" x14ac:dyDescent="0.35">
      <c r="A439">
        <v>23442.28815</v>
      </c>
      <c r="B439">
        <v>8.3335399999999993</v>
      </c>
    </row>
    <row r="440" spans="1:2" x14ac:dyDescent="0.35">
      <c r="A440">
        <v>23988.32919</v>
      </c>
      <c r="B440">
        <v>8.2491500000000002</v>
      </c>
    </row>
    <row r="441" spans="1:2" x14ac:dyDescent="0.35">
      <c r="A441">
        <v>24547.08916</v>
      </c>
      <c r="B441">
        <v>8.1625099999999993</v>
      </c>
    </row>
    <row r="442" spans="1:2" x14ac:dyDescent="0.35">
      <c r="A442">
        <v>25118.864320000001</v>
      </c>
      <c r="B442">
        <v>8.0736000000000008</v>
      </c>
    </row>
    <row r="443" spans="1:2" x14ac:dyDescent="0.35">
      <c r="A443">
        <v>25703.957829999999</v>
      </c>
      <c r="B443">
        <v>7.9824099999999998</v>
      </c>
    </row>
    <row r="444" spans="1:2" x14ac:dyDescent="0.35">
      <c r="A444">
        <v>26302.679919999999</v>
      </c>
      <c r="B444">
        <v>7.8889300000000002</v>
      </c>
    </row>
    <row r="445" spans="1:2" x14ac:dyDescent="0.35">
      <c r="A445">
        <v>26915.348040000001</v>
      </c>
      <c r="B445">
        <v>7.7931600000000003</v>
      </c>
    </row>
    <row r="446" spans="1:2" x14ac:dyDescent="0.35">
      <c r="A446">
        <v>27542.28703</v>
      </c>
      <c r="B446">
        <v>7.6950799999999999</v>
      </c>
    </row>
    <row r="447" spans="1:2" x14ac:dyDescent="0.35">
      <c r="A447">
        <v>28183.829310000001</v>
      </c>
      <c r="B447">
        <v>7.5947100000000001</v>
      </c>
    </row>
    <row r="448" spans="1:2" x14ac:dyDescent="0.35">
      <c r="A448">
        <v>28840.315030000002</v>
      </c>
      <c r="B448">
        <v>7.4920299999999997</v>
      </c>
    </row>
    <row r="449" spans="1:2" x14ac:dyDescent="0.35">
      <c r="A449">
        <v>29512.092270000001</v>
      </c>
      <c r="B449">
        <v>7.38706</v>
      </c>
    </row>
    <row r="450" spans="1:2" x14ac:dyDescent="0.35">
      <c r="A450">
        <v>30199.517199999998</v>
      </c>
      <c r="B450">
        <v>7.2797900000000002</v>
      </c>
    </row>
    <row r="451" spans="1:2" x14ac:dyDescent="0.35">
      <c r="A451">
        <v>30902.95433</v>
      </c>
      <c r="B451">
        <v>7.1702300000000001</v>
      </c>
    </row>
    <row r="452" spans="1:2" x14ac:dyDescent="0.35">
      <c r="A452">
        <v>31622.776600000001</v>
      </c>
      <c r="B452">
        <v>7.0584100000000003</v>
      </c>
    </row>
    <row r="453" spans="1:2" x14ac:dyDescent="0.35">
      <c r="A453">
        <v>32359.365689999999</v>
      </c>
      <c r="B453">
        <v>6.9443099999999998</v>
      </c>
    </row>
    <row r="454" spans="1:2" x14ac:dyDescent="0.35">
      <c r="A454">
        <v>33113.112150000001</v>
      </c>
      <c r="B454">
        <v>6.8279699999999997</v>
      </c>
    </row>
    <row r="455" spans="1:2" x14ac:dyDescent="0.35">
      <c r="A455">
        <v>33884.415609999996</v>
      </c>
      <c r="B455">
        <v>6.7093999999999996</v>
      </c>
    </row>
    <row r="456" spans="1:2" x14ac:dyDescent="0.35">
      <c r="A456">
        <v>34673.68505</v>
      </c>
      <c r="B456">
        <v>6.5886100000000001</v>
      </c>
    </row>
    <row r="457" spans="1:2" x14ac:dyDescent="0.35">
      <c r="A457">
        <v>35481.338920000002</v>
      </c>
      <c r="B457">
        <v>6.46563</v>
      </c>
    </row>
    <row r="458" spans="1:2" x14ac:dyDescent="0.35">
      <c r="A458">
        <v>36307.805480000003</v>
      </c>
      <c r="B458">
        <v>6.34049</v>
      </c>
    </row>
    <row r="459" spans="1:2" x14ac:dyDescent="0.35">
      <c r="A459">
        <v>37153.52291</v>
      </c>
      <c r="B459">
        <v>6.2131999999999996</v>
      </c>
    </row>
    <row r="460" spans="1:2" x14ac:dyDescent="0.35">
      <c r="A460">
        <v>38018.939630000001</v>
      </c>
      <c r="B460">
        <v>6.0837899999999996</v>
      </c>
    </row>
    <row r="461" spans="1:2" x14ac:dyDescent="0.35">
      <c r="A461">
        <v>38904.514499999997</v>
      </c>
      <c r="B461">
        <v>5.9523000000000001</v>
      </c>
    </row>
    <row r="462" spans="1:2" x14ac:dyDescent="0.35">
      <c r="A462">
        <v>39810.717060000003</v>
      </c>
      <c r="B462">
        <v>5.8187499999999996</v>
      </c>
    </row>
    <row r="463" spans="1:2" x14ac:dyDescent="0.35">
      <c r="A463">
        <v>40738.027779999997</v>
      </c>
      <c r="B463">
        <v>5.6831699999999996</v>
      </c>
    </row>
    <row r="464" spans="1:2" x14ac:dyDescent="0.35">
      <c r="A464">
        <v>41686.938349999997</v>
      </c>
      <c r="B464">
        <v>5.5455899999999998</v>
      </c>
    </row>
    <row r="465" spans="1:2" x14ac:dyDescent="0.35">
      <c r="A465">
        <v>42657.951880000001</v>
      </c>
      <c r="B465">
        <v>5.4060600000000001</v>
      </c>
    </row>
    <row r="466" spans="1:2" x14ac:dyDescent="0.35">
      <c r="A466">
        <v>43651.58322</v>
      </c>
      <c r="B466">
        <v>5.2646100000000002</v>
      </c>
    </row>
    <row r="467" spans="1:2" x14ac:dyDescent="0.35">
      <c r="A467">
        <v>44668.359219999998</v>
      </c>
      <c r="B467">
        <v>5.1212600000000004</v>
      </c>
    </row>
    <row r="468" spans="1:2" x14ac:dyDescent="0.35">
      <c r="A468">
        <v>45708.818959999997</v>
      </c>
      <c r="B468">
        <v>4.97607</v>
      </c>
    </row>
    <row r="469" spans="1:2" x14ac:dyDescent="0.35">
      <c r="A469">
        <v>46773.514130000003</v>
      </c>
      <c r="B469">
        <v>4.8290699999999998</v>
      </c>
    </row>
    <row r="470" spans="1:2" x14ac:dyDescent="0.35">
      <c r="A470">
        <v>47863.009230000003</v>
      </c>
      <c r="B470">
        <v>4.6802900000000003</v>
      </c>
    </row>
    <row r="471" spans="1:2" x14ac:dyDescent="0.35">
      <c r="A471">
        <v>48977.881939999999</v>
      </c>
      <c r="B471">
        <v>4.5297799999999997</v>
      </c>
    </row>
    <row r="472" spans="1:2" x14ac:dyDescent="0.35">
      <c r="A472">
        <v>50118.723360000004</v>
      </c>
      <c r="B472">
        <v>4.3775700000000004</v>
      </c>
    </row>
    <row r="473" spans="1:2" x14ac:dyDescent="0.35">
      <c r="A473">
        <v>51286.138400000003</v>
      </c>
      <c r="B473">
        <v>4.2237200000000001</v>
      </c>
    </row>
    <row r="474" spans="1:2" x14ac:dyDescent="0.35">
      <c r="A474">
        <v>52480.746019999999</v>
      </c>
      <c r="B474">
        <v>4.0682400000000003</v>
      </c>
    </row>
    <row r="475" spans="1:2" x14ac:dyDescent="0.35">
      <c r="A475">
        <v>53703.179640000002</v>
      </c>
      <c r="B475">
        <v>3.9112</v>
      </c>
    </row>
    <row r="476" spans="1:2" x14ac:dyDescent="0.35">
      <c r="A476">
        <v>54954.087390000001</v>
      </c>
      <c r="B476">
        <v>3.7526299999999999</v>
      </c>
    </row>
    <row r="477" spans="1:2" x14ac:dyDescent="0.35">
      <c r="A477">
        <v>56234.132519999999</v>
      </c>
      <c r="B477">
        <v>3.5925600000000002</v>
      </c>
    </row>
    <row r="478" spans="1:2" x14ac:dyDescent="0.35">
      <c r="A478">
        <v>57543.993730000002</v>
      </c>
      <c r="B478">
        <v>3.4310499999999999</v>
      </c>
    </row>
    <row r="479" spans="1:2" x14ac:dyDescent="0.35">
      <c r="A479">
        <v>58884.365539999999</v>
      </c>
      <c r="B479">
        <v>3.2681300000000002</v>
      </c>
    </row>
    <row r="480" spans="1:2" x14ac:dyDescent="0.35">
      <c r="A480">
        <v>60255.958610000001</v>
      </c>
      <c r="B480">
        <v>3.1038399999999999</v>
      </c>
    </row>
    <row r="481" spans="1:2" x14ac:dyDescent="0.35">
      <c r="A481">
        <v>61659.500189999999</v>
      </c>
      <c r="B481">
        <v>2.9382199999999998</v>
      </c>
    </row>
    <row r="482" spans="1:2" x14ac:dyDescent="0.35">
      <c r="A482">
        <v>63095.734450000004</v>
      </c>
      <c r="B482">
        <v>2.7713100000000002</v>
      </c>
    </row>
    <row r="483" spans="1:2" x14ac:dyDescent="0.35">
      <c r="A483">
        <v>64565.422899999998</v>
      </c>
      <c r="B483">
        <v>2.6031499999999999</v>
      </c>
    </row>
    <row r="484" spans="1:2" x14ac:dyDescent="0.35">
      <c r="A484">
        <v>66069.344800000006</v>
      </c>
      <c r="B484">
        <v>2.4337800000000001</v>
      </c>
    </row>
    <row r="485" spans="1:2" x14ac:dyDescent="0.35">
      <c r="A485">
        <v>67608.29754</v>
      </c>
      <c r="B485">
        <v>2.2632400000000001</v>
      </c>
    </row>
    <row r="486" spans="1:2" x14ac:dyDescent="0.35">
      <c r="A486">
        <v>69183.097089999996</v>
      </c>
      <c r="B486">
        <v>2.0915599999999999</v>
      </c>
    </row>
    <row r="487" spans="1:2" x14ac:dyDescent="0.35">
      <c r="A487">
        <v>70794.578439999997</v>
      </c>
      <c r="B487">
        <v>1.9187799999999999</v>
      </c>
    </row>
    <row r="488" spans="1:2" x14ac:dyDescent="0.35">
      <c r="A488">
        <v>72443.596009999994</v>
      </c>
      <c r="B488">
        <v>1.74495</v>
      </c>
    </row>
    <row r="489" spans="1:2" x14ac:dyDescent="0.35">
      <c r="A489">
        <v>74131.024130000005</v>
      </c>
      <c r="B489">
        <v>1.57009</v>
      </c>
    </row>
    <row r="490" spans="1:2" x14ac:dyDescent="0.35">
      <c r="A490">
        <v>75857.757500000007</v>
      </c>
      <c r="B490">
        <v>1.3942300000000001</v>
      </c>
    </row>
    <row r="491" spans="1:2" x14ac:dyDescent="0.35">
      <c r="A491">
        <v>77624.711660000001</v>
      </c>
      <c r="B491">
        <v>1.2174199999999999</v>
      </c>
    </row>
    <row r="492" spans="1:2" x14ac:dyDescent="0.35">
      <c r="A492">
        <v>79432.823470000003</v>
      </c>
      <c r="B492">
        <v>1.03969</v>
      </c>
    </row>
    <row r="493" spans="1:2" x14ac:dyDescent="0.35">
      <c r="A493">
        <v>81283.051619999998</v>
      </c>
      <c r="B493">
        <v>0.86106199999999999</v>
      </c>
    </row>
    <row r="494" spans="1:2" x14ac:dyDescent="0.35">
      <c r="A494">
        <v>83176.377110000001</v>
      </c>
      <c r="B494">
        <v>0.68157800000000002</v>
      </c>
    </row>
    <row r="495" spans="1:2" x14ac:dyDescent="0.35">
      <c r="A495">
        <v>85113.803820000001</v>
      </c>
      <c r="B495">
        <v>0.50126700000000002</v>
      </c>
    </row>
    <row r="496" spans="1:2" x14ac:dyDescent="0.35">
      <c r="A496">
        <v>87096.358999999997</v>
      </c>
      <c r="B496">
        <v>0.320158</v>
      </c>
    </row>
    <row r="497" spans="1:2" x14ac:dyDescent="0.35">
      <c r="A497">
        <v>89125.093810000006</v>
      </c>
      <c r="B497">
        <v>0.13828099999999999</v>
      </c>
    </row>
    <row r="498" spans="1:2" x14ac:dyDescent="0.35">
      <c r="A498">
        <v>91201.083939999997</v>
      </c>
      <c r="B498">
        <v>-4.4334699999999998E-2</v>
      </c>
    </row>
    <row r="499" spans="1:2" x14ac:dyDescent="0.35">
      <c r="A499">
        <v>93325.430080000006</v>
      </c>
      <c r="B499">
        <v>-0.227662</v>
      </c>
    </row>
    <row r="500" spans="1:2" x14ac:dyDescent="0.35">
      <c r="A500">
        <v>95499.258600000001</v>
      </c>
      <c r="B500">
        <v>-0.41167300000000001</v>
      </c>
    </row>
    <row r="501" spans="1:2" x14ac:dyDescent="0.35">
      <c r="A501">
        <v>97723.722099999999</v>
      </c>
      <c r="B501">
        <v>-0.59634299999999996</v>
      </c>
    </row>
    <row r="502" spans="1:2" x14ac:dyDescent="0.35">
      <c r="A502">
        <v>100000</v>
      </c>
      <c r="B502">
        <v>-0.78164500000000003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7ED-C7F0-4177-96B3-935BDE058C5B}">
  <dimension ref="A1:H36"/>
  <sheetViews>
    <sheetView zoomScale="110" zoomScaleNormal="110" workbookViewId="0">
      <selection sqref="A1:H1"/>
    </sheetView>
  </sheetViews>
  <sheetFormatPr defaultRowHeight="14.5" x14ac:dyDescent="0.35"/>
  <cols>
    <col min="1" max="1" width="18.7265625" bestFit="1" customWidth="1"/>
    <col min="2" max="2" width="9.7265625" bestFit="1" customWidth="1"/>
    <col min="3" max="3" width="10.81640625" bestFit="1" customWidth="1"/>
    <col min="4" max="4" width="15.453125" bestFit="1" customWidth="1"/>
    <col min="5" max="5" width="12" bestFit="1" customWidth="1"/>
    <col min="6" max="6" width="10.81640625" bestFit="1" customWidth="1"/>
    <col min="7" max="7" width="5.453125" bestFit="1" customWidth="1"/>
    <col min="8" max="8" width="10.453125" bestFit="1" customWidth="1"/>
  </cols>
  <sheetData>
    <row r="1" spans="1:8" x14ac:dyDescent="0.35">
      <c r="A1" s="40" t="s">
        <v>163</v>
      </c>
      <c r="B1" s="41"/>
      <c r="C1" s="41"/>
      <c r="D1" s="41"/>
      <c r="E1" s="41"/>
      <c r="F1" s="41"/>
      <c r="G1" s="41"/>
      <c r="H1" s="41"/>
    </row>
    <row r="3" spans="1:8" x14ac:dyDescent="0.35">
      <c r="A3" s="42"/>
      <c r="B3" s="41"/>
      <c r="C3" s="41"/>
      <c r="D3" s="41"/>
      <c r="E3" s="41"/>
      <c r="F3" s="41"/>
      <c r="G3" s="41"/>
      <c r="H3" s="41"/>
    </row>
    <row r="4" spans="1:8" ht="29" x14ac:dyDescent="0.35">
      <c r="A4" s="16" t="s">
        <v>86</v>
      </c>
      <c r="B4" s="17">
        <v>6</v>
      </c>
    </row>
    <row r="5" spans="1:8" x14ac:dyDescent="0.35">
      <c r="A5" s="16" t="s">
        <v>87</v>
      </c>
      <c r="B5" s="17">
        <f>B4-3</f>
        <v>3</v>
      </c>
    </row>
    <row r="6" spans="1:8" ht="30.75" customHeight="1" x14ac:dyDescent="0.35">
      <c r="A6" s="16" t="s">
        <v>88</v>
      </c>
      <c r="B6" s="18">
        <v>10</v>
      </c>
    </row>
    <row r="9" spans="1:8" ht="24" customHeight="1" x14ac:dyDescent="0.35">
      <c r="A9" s="19" t="s">
        <v>84</v>
      </c>
      <c r="B9" s="19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19" t="s">
        <v>95</v>
      </c>
    </row>
    <row r="10" spans="1:8" x14ac:dyDescent="0.35">
      <c r="A10" s="20">
        <v>1</v>
      </c>
      <c r="B10" s="21">
        <v>0.94399999999999995</v>
      </c>
      <c r="C10" s="21">
        <v>0.52</v>
      </c>
      <c r="D10" s="22">
        <f t="shared" ref="D10:D30" si="0">IF(OR(B10="",C10=""),"",C10/B10)</f>
        <v>0.55084745762711873</v>
      </c>
      <c r="E10" s="22">
        <f t="shared" ref="E10:E30" si="1">IF(D10="","",20*LOG10(ABS(D10)))</f>
        <v>-5.179373013265395</v>
      </c>
      <c r="F10" s="23" t="str">
        <f t="shared" ref="F10:F30" si="2">IF(E10="","",IF(E10&lt;=$B$5,"YES","NO"))</f>
        <v>YES</v>
      </c>
      <c r="G10" s="24"/>
      <c r="H10" s="23"/>
    </row>
    <row r="11" spans="1:8" x14ac:dyDescent="0.35">
      <c r="A11" s="20">
        <v>3</v>
      </c>
      <c r="B11" s="21">
        <v>0.94399999999999995</v>
      </c>
      <c r="C11" s="21">
        <v>1.42</v>
      </c>
      <c r="D11" s="22">
        <f t="shared" si="0"/>
        <v>1.5042372881355932</v>
      </c>
      <c r="E11" s="22">
        <f t="shared" si="1"/>
        <v>3.5463270016997499</v>
      </c>
      <c r="F11" s="23" t="str">
        <f t="shared" si="2"/>
        <v>NO</v>
      </c>
      <c r="G11" s="24"/>
      <c r="H11" s="23"/>
    </row>
    <row r="12" spans="1:8" x14ac:dyDescent="0.35">
      <c r="A12" s="20">
        <v>5</v>
      </c>
      <c r="B12" s="21">
        <v>0.93600000000000005</v>
      </c>
      <c r="C12" s="21">
        <v>2.02</v>
      </c>
      <c r="D12" s="22">
        <f t="shared" si="0"/>
        <v>2.158119658119658</v>
      </c>
      <c r="E12" s="22">
        <f t="shared" si="1"/>
        <v>6.6815104141703703</v>
      </c>
      <c r="F12" s="23" t="str">
        <f t="shared" si="2"/>
        <v>NO</v>
      </c>
      <c r="G12" s="24"/>
      <c r="H12" s="23"/>
    </row>
    <row r="13" spans="1:8" x14ac:dyDescent="0.35">
      <c r="A13" s="20">
        <v>10</v>
      </c>
      <c r="B13" s="21">
        <v>0.93600000000000005</v>
      </c>
      <c r="C13" s="21">
        <v>2.7</v>
      </c>
      <c r="D13" s="22">
        <f t="shared" si="0"/>
        <v>2.8846153846153846</v>
      </c>
      <c r="E13" s="22">
        <f t="shared" si="1"/>
        <v>9.2017583084176415</v>
      </c>
      <c r="F13" s="23" t="str">
        <f t="shared" si="2"/>
        <v>NO</v>
      </c>
      <c r="G13" s="24"/>
      <c r="H13" s="23"/>
    </row>
    <row r="14" spans="1:8" x14ac:dyDescent="0.35">
      <c r="A14" s="20">
        <v>30</v>
      </c>
      <c r="B14" s="21">
        <v>0.93600000000000005</v>
      </c>
      <c r="C14" s="21">
        <v>3.14</v>
      </c>
      <c r="D14" s="22">
        <f t="shared" si="0"/>
        <v>3.3547008547008548</v>
      </c>
      <c r="E14" s="22">
        <f t="shared" si="1"/>
        <v>10.513075986702194</v>
      </c>
      <c r="F14" s="23" t="str">
        <f t="shared" si="2"/>
        <v>NO</v>
      </c>
      <c r="G14" s="24"/>
      <c r="H14" s="23"/>
    </row>
    <row r="15" spans="1:8" x14ac:dyDescent="0.35">
      <c r="A15" s="20">
        <v>50</v>
      </c>
      <c r="B15" s="21">
        <v>0.92800000000000005</v>
      </c>
      <c r="C15" s="21">
        <v>3.2</v>
      </c>
      <c r="D15" s="22">
        <f t="shared" si="0"/>
        <v>3.4482758620689657</v>
      </c>
      <c r="E15" s="22">
        <f t="shared" si="1"/>
        <v>10.752040042020878</v>
      </c>
      <c r="F15" s="23" t="str">
        <f t="shared" si="2"/>
        <v>NO</v>
      </c>
      <c r="G15" s="24"/>
      <c r="H15" s="23"/>
    </row>
    <row r="16" spans="1:8" x14ac:dyDescent="0.35">
      <c r="A16" s="20">
        <v>100</v>
      </c>
      <c r="B16" s="21">
        <v>0.92800000000000005</v>
      </c>
      <c r="C16" s="21">
        <v>3.2</v>
      </c>
      <c r="D16" s="22">
        <f t="shared" si="0"/>
        <v>3.4482758620689657</v>
      </c>
      <c r="E16" s="22">
        <f t="shared" si="1"/>
        <v>10.752040042020878</v>
      </c>
      <c r="F16" s="23" t="str">
        <f t="shared" si="2"/>
        <v>NO</v>
      </c>
      <c r="G16" s="24"/>
      <c r="H16" s="23"/>
    </row>
    <row r="17" spans="1:8" x14ac:dyDescent="0.35">
      <c r="A17" s="20">
        <v>300</v>
      </c>
      <c r="B17" s="21">
        <v>0.92800000000000005</v>
      </c>
      <c r="C17" s="21">
        <v>3.22</v>
      </c>
      <c r="D17" s="22">
        <f t="shared" si="0"/>
        <v>3.4698275862068968</v>
      </c>
      <c r="E17" s="22">
        <f t="shared" si="1"/>
        <v>10.806157909539378</v>
      </c>
      <c r="F17" s="23" t="str">
        <f t="shared" si="2"/>
        <v>NO</v>
      </c>
      <c r="G17" s="24"/>
      <c r="H17" s="23"/>
    </row>
    <row r="18" spans="1:8" x14ac:dyDescent="0.35">
      <c r="A18" s="20">
        <v>500</v>
      </c>
      <c r="B18" s="21">
        <v>0.92800000000000005</v>
      </c>
      <c r="C18" s="21">
        <v>3.22</v>
      </c>
      <c r="D18" s="22">
        <f t="shared" si="0"/>
        <v>3.4698275862068968</v>
      </c>
      <c r="E18" s="22">
        <f t="shared" si="1"/>
        <v>10.806157909539378</v>
      </c>
      <c r="F18" s="23" t="str">
        <f t="shared" si="2"/>
        <v>NO</v>
      </c>
      <c r="G18" s="24"/>
      <c r="H18" s="23"/>
    </row>
    <row r="19" spans="1:8" x14ac:dyDescent="0.35">
      <c r="A19" s="20">
        <v>1000</v>
      </c>
      <c r="B19" s="25">
        <v>0.92800000000000005</v>
      </c>
      <c r="C19" s="25">
        <v>3.22</v>
      </c>
      <c r="D19" s="22">
        <f t="shared" si="0"/>
        <v>3.4698275862068968</v>
      </c>
      <c r="E19" s="22">
        <f t="shared" si="1"/>
        <v>10.806157909539378</v>
      </c>
      <c r="F19" s="23" t="str">
        <f t="shared" si="2"/>
        <v>NO</v>
      </c>
      <c r="G19" s="24"/>
      <c r="H19" s="23"/>
    </row>
    <row r="20" spans="1:8" x14ac:dyDescent="0.35">
      <c r="A20" s="20">
        <v>3000</v>
      </c>
      <c r="B20" s="21">
        <v>0.94399999999999995</v>
      </c>
      <c r="C20" s="21">
        <v>3.24</v>
      </c>
      <c r="D20" s="22">
        <f t="shared" si="0"/>
        <v>3.4322033898305091</v>
      </c>
      <c r="E20" s="22">
        <f t="shared" si="1"/>
        <v>10.711460318170865</v>
      </c>
      <c r="F20" s="23" t="str">
        <f t="shared" si="2"/>
        <v>NO</v>
      </c>
      <c r="G20" s="24"/>
      <c r="H20" s="23"/>
    </row>
    <row r="21" spans="1:8" x14ac:dyDescent="0.35">
      <c r="A21" s="20">
        <v>5000</v>
      </c>
      <c r="B21" s="21">
        <v>0.95199999999999996</v>
      </c>
      <c r="C21" s="21">
        <v>3.2</v>
      </c>
      <c r="D21" s="22">
        <f t="shared" si="0"/>
        <v>3.3613445378151265</v>
      </c>
      <c r="E21" s="22">
        <f t="shared" si="1"/>
        <v>10.530260598708633</v>
      </c>
      <c r="F21" s="23" t="str">
        <f t="shared" si="2"/>
        <v>NO</v>
      </c>
      <c r="G21" s="24"/>
      <c r="H21" s="23"/>
    </row>
    <row r="22" spans="1:8" x14ac:dyDescent="0.35">
      <c r="A22" s="20">
        <v>10000</v>
      </c>
      <c r="B22" s="26">
        <v>0.94399999999999995</v>
      </c>
      <c r="C22" s="26">
        <v>3.06</v>
      </c>
      <c r="D22" s="27">
        <f t="shared" si="0"/>
        <v>3.2415254237288136</v>
      </c>
      <c r="E22" s="27">
        <f t="shared" si="1"/>
        <v>10.214988643670219</v>
      </c>
      <c r="F22" s="28" t="str">
        <f t="shared" si="2"/>
        <v>NO</v>
      </c>
      <c r="G22" s="28"/>
      <c r="H22" s="28"/>
    </row>
    <row r="23" spans="1:8" x14ac:dyDescent="0.35">
      <c r="A23" s="20">
        <v>20000</v>
      </c>
      <c r="B23" s="21">
        <v>0.94399999999999995</v>
      </c>
      <c r="C23" s="21">
        <v>2.64</v>
      </c>
      <c r="D23" s="22">
        <f t="shared" si="0"/>
        <v>2.7966101694915255</v>
      </c>
      <c r="E23" s="22">
        <f t="shared" si="1"/>
        <v>8.9326386514352425</v>
      </c>
      <c r="F23" s="23" t="str">
        <f t="shared" si="2"/>
        <v>NO</v>
      </c>
      <c r="G23" s="24"/>
      <c r="H23" s="23"/>
    </row>
    <row r="24" spans="1:8" x14ac:dyDescent="0.35">
      <c r="A24" s="20">
        <v>30000</v>
      </c>
      <c r="B24" s="21">
        <v>0.94399999999999995</v>
      </c>
      <c r="C24" s="21">
        <v>2.2200000000000002</v>
      </c>
      <c r="D24" s="22">
        <f t="shared" si="0"/>
        <v>2.3516949152542375</v>
      </c>
      <c r="E24" s="22">
        <f t="shared" si="1"/>
        <v>7.4276196030513937</v>
      </c>
      <c r="F24" s="23" t="str">
        <f t="shared" si="2"/>
        <v>NO</v>
      </c>
      <c r="G24" s="24"/>
      <c r="H24" s="23"/>
    </row>
    <row r="25" spans="1:8" x14ac:dyDescent="0.35">
      <c r="A25" s="20">
        <v>50000</v>
      </c>
      <c r="B25" s="21">
        <v>0.94399999999999995</v>
      </c>
      <c r="C25" s="21">
        <v>1.62</v>
      </c>
      <c r="D25" s="22">
        <f t="shared" si="0"/>
        <v>1.7161016949152545</v>
      </c>
      <c r="E25" s="22">
        <f t="shared" si="1"/>
        <v>4.6908604048912412</v>
      </c>
      <c r="F25" s="23" t="str">
        <f t="shared" si="2"/>
        <v>NO</v>
      </c>
      <c r="G25" s="24"/>
      <c r="H25" s="23"/>
    </row>
    <row r="26" spans="1:8" x14ac:dyDescent="0.35">
      <c r="A26" s="20">
        <v>100000</v>
      </c>
      <c r="B26" s="21">
        <v>0.94399999999999995</v>
      </c>
      <c r="C26" s="21">
        <v>0.9</v>
      </c>
      <c r="D26" s="22">
        <f t="shared" si="0"/>
        <v>0.9533898305084747</v>
      </c>
      <c r="E26" s="22">
        <f t="shared" si="1"/>
        <v>-0.41458969717488081</v>
      </c>
      <c r="F26" s="23" t="str">
        <f t="shared" si="2"/>
        <v>YES</v>
      </c>
      <c r="G26" s="24"/>
      <c r="H26" s="23"/>
    </row>
    <row r="27" spans="1:8" x14ac:dyDescent="0.35">
      <c r="A27" s="20">
        <v>200000</v>
      </c>
      <c r="B27" s="21">
        <v>0.94399999999999995</v>
      </c>
      <c r="C27" s="21">
        <v>0.5</v>
      </c>
      <c r="D27" s="22">
        <f t="shared" si="0"/>
        <v>0.52966101694915257</v>
      </c>
      <c r="E27" s="22">
        <f t="shared" si="1"/>
        <v>-5.5200397992410029</v>
      </c>
      <c r="F27" s="23" t="str">
        <f t="shared" si="2"/>
        <v>YES</v>
      </c>
      <c r="G27" s="24"/>
      <c r="H27" s="23"/>
    </row>
    <row r="28" spans="1:8" x14ac:dyDescent="0.35">
      <c r="A28" s="20">
        <v>300000</v>
      </c>
      <c r="B28" s="21">
        <v>0.93600000000000005</v>
      </c>
      <c r="C28" s="21">
        <v>0.38</v>
      </c>
      <c r="D28" s="22">
        <f t="shared" si="0"/>
        <v>0.40598290598290598</v>
      </c>
      <c r="E28" s="22">
        <f t="shared" si="1"/>
        <v>-7.8298450424259016</v>
      </c>
      <c r="F28" s="23" t="str">
        <f t="shared" si="2"/>
        <v>YES</v>
      </c>
      <c r="G28" s="24"/>
      <c r="H28" s="23"/>
    </row>
    <row r="29" spans="1:8" x14ac:dyDescent="0.35">
      <c r="A29" s="20">
        <v>500000</v>
      </c>
      <c r="B29" s="21">
        <v>0.93600000000000005</v>
      </c>
      <c r="C29" s="21">
        <v>0.28000000000000003</v>
      </c>
      <c r="D29" s="22">
        <f t="shared" si="0"/>
        <v>0.29914529914529914</v>
      </c>
      <c r="E29" s="22">
        <f t="shared" si="1"/>
        <v>-10.482356347917721</v>
      </c>
      <c r="F29" s="23" t="str">
        <f t="shared" si="2"/>
        <v>YES</v>
      </c>
      <c r="G29" s="24"/>
      <c r="H29" s="23"/>
    </row>
    <row r="30" spans="1:8" x14ac:dyDescent="0.35">
      <c r="A30" s="20">
        <v>1000000</v>
      </c>
      <c r="B30" s="21">
        <v>0.92</v>
      </c>
      <c r="C30" s="21">
        <v>0.13600000000000001</v>
      </c>
      <c r="D30" s="22">
        <f t="shared" si="0"/>
        <v>0.14782608695652175</v>
      </c>
      <c r="E30" s="22">
        <f t="shared" si="1"/>
        <v>-16.604978379506754</v>
      </c>
      <c r="F30" s="23" t="str">
        <f t="shared" si="2"/>
        <v>YES</v>
      </c>
      <c r="G30" s="24"/>
      <c r="H30" s="23"/>
    </row>
    <row r="33" spans="1:2" x14ac:dyDescent="0.35">
      <c r="A33" s="29" t="s">
        <v>96</v>
      </c>
    </row>
    <row r="34" spans="1:2" x14ac:dyDescent="0.35">
      <c r="A34" s="16" t="s">
        <v>97</v>
      </c>
      <c r="B34" s="18"/>
    </row>
    <row r="35" spans="1:2" ht="29" x14ac:dyDescent="0.35">
      <c r="A35" s="16" t="s">
        <v>98</v>
      </c>
      <c r="B35" s="18">
        <f>IF(B20="","",$B$6*B20)</f>
        <v>9.44</v>
      </c>
    </row>
    <row r="36" spans="1:2" ht="116" x14ac:dyDescent="0.35">
      <c r="A36" s="16" t="s">
        <v>99</v>
      </c>
      <c r="B36" s="16" t="s">
        <v>100</v>
      </c>
    </row>
  </sheetData>
  <mergeCells count="2">
    <mergeCell ref="A1:H1"/>
    <mergeCell ref="A3:H3"/>
  </mergeCells>
  <pageMargins left="0.75" right="0.75" top="1" bottom="1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FB90-E627-4A2A-A3F3-101C54CF70AB}">
  <dimension ref="A1:W502"/>
  <sheetViews>
    <sheetView zoomScale="110" zoomScaleNormal="110" workbookViewId="0"/>
  </sheetViews>
  <sheetFormatPr defaultRowHeight="14.5" x14ac:dyDescent="0.35"/>
  <cols>
    <col min="1" max="1" width="13.1796875" bestFit="1" customWidth="1"/>
    <col min="2" max="2" width="22.453125" bestFit="1" customWidth="1"/>
    <col min="13" max="13" width="11.1796875" customWidth="1"/>
    <col min="14" max="14" width="12.81640625" customWidth="1"/>
    <col min="15" max="15" width="12.26953125" customWidth="1"/>
    <col min="16" max="16" width="18.81640625" customWidth="1"/>
    <col min="17" max="17" width="16.26953125" customWidth="1"/>
    <col min="23" max="23" width="27.1796875" bestFit="1" customWidth="1"/>
  </cols>
  <sheetData>
    <row r="1" spans="1:22" ht="26.5" customHeight="1" x14ac:dyDescent="0.35">
      <c r="A1" t="s">
        <v>84</v>
      </c>
      <c r="B1" s="32" t="s">
        <v>164</v>
      </c>
      <c r="M1" s="19" t="s">
        <v>84</v>
      </c>
      <c r="N1" s="19" t="s">
        <v>89</v>
      </c>
      <c r="O1" s="19" t="s">
        <v>90</v>
      </c>
      <c r="P1" s="19" t="s">
        <v>91</v>
      </c>
      <c r="Q1" s="19" t="s">
        <v>165</v>
      </c>
    </row>
    <row r="2" spans="1:22" x14ac:dyDescent="0.35">
      <c r="A2">
        <v>1</v>
      </c>
      <c r="B2">
        <v>-5.8578200000000002</v>
      </c>
      <c r="M2" s="20">
        <v>1</v>
      </c>
      <c r="N2" s="21">
        <v>0.94399999999999995</v>
      </c>
      <c r="O2" s="21">
        <v>0.52</v>
      </c>
      <c r="P2" s="22">
        <f t="shared" ref="P2:P23" si="0">IF(OR(N2="",O2=""),"",O2/N2)</f>
        <v>0.55084745762711873</v>
      </c>
      <c r="Q2" s="22">
        <f t="shared" ref="Q2:Q23" si="1">IF(P2="","",20*LOG10(ABS(P2)))</f>
        <v>-5.179373013265395</v>
      </c>
    </row>
    <row r="3" spans="1:22" x14ac:dyDescent="0.35">
      <c r="A3">
        <v>1.023292992</v>
      </c>
      <c r="B3">
        <v>-5.6623700000000001</v>
      </c>
      <c r="M3" s="20">
        <v>3</v>
      </c>
      <c r="N3" s="21">
        <v>0.94399999999999995</v>
      </c>
      <c r="O3" s="21">
        <v>1.42</v>
      </c>
      <c r="P3" s="22">
        <f t="shared" si="0"/>
        <v>1.5042372881355932</v>
      </c>
      <c r="Q3" s="22">
        <f t="shared" si="1"/>
        <v>3.5463270016997499</v>
      </c>
    </row>
    <row r="4" spans="1:22" x14ac:dyDescent="0.35">
      <c r="A4">
        <v>1.0471285480000001</v>
      </c>
      <c r="B4">
        <v>-5.4671200000000004</v>
      </c>
      <c r="M4" s="20">
        <v>5</v>
      </c>
      <c r="N4" s="21">
        <v>0.93600000000000005</v>
      </c>
      <c r="O4" s="21">
        <v>2.02</v>
      </c>
      <c r="P4" s="22">
        <f t="shared" si="0"/>
        <v>2.158119658119658</v>
      </c>
      <c r="Q4" s="22">
        <f t="shared" si="1"/>
        <v>6.6815104141703703</v>
      </c>
    </row>
    <row r="5" spans="1:22" x14ac:dyDescent="0.35">
      <c r="A5">
        <v>1.071519305</v>
      </c>
      <c r="B5">
        <v>-5.2721</v>
      </c>
      <c r="M5" s="20">
        <v>10</v>
      </c>
      <c r="N5" s="21">
        <v>0.93600000000000005</v>
      </c>
      <c r="O5" s="21">
        <v>2.7</v>
      </c>
      <c r="P5" s="22">
        <f t="shared" si="0"/>
        <v>2.8846153846153846</v>
      </c>
      <c r="Q5" s="22">
        <f t="shared" si="1"/>
        <v>9.2017583084176415</v>
      </c>
    </row>
    <row r="6" spans="1:22" x14ac:dyDescent="0.35">
      <c r="A6">
        <v>1.0964781960000001</v>
      </c>
      <c r="B6">
        <v>-5.0773000000000001</v>
      </c>
      <c r="M6" s="20">
        <v>30</v>
      </c>
      <c r="N6" s="21">
        <v>0.93600000000000005</v>
      </c>
      <c r="O6" s="21">
        <v>3.14</v>
      </c>
      <c r="P6" s="22">
        <f t="shared" si="0"/>
        <v>3.3547008547008548</v>
      </c>
      <c r="Q6" s="22">
        <f t="shared" si="1"/>
        <v>10.513075986702194</v>
      </c>
      <c r="V6" s="4"/>
    </row>
    <row r="7" spans="1:22" x14ac:dyDescent="0.35">
      <c r="A7">
        <v>1.122018454</v>
      </c>
      <c r="B7">
        <v>-4.8827499999999997</v>
      </c>
      <c r="M7" s="20">
        <v>50</v>
      </c>
      <c r="N7" s="21">
        <v>0.92800000000000005</v>
      </c>
      <c r="O7" s="21">
        <v>3.2</v>
      </c>
      <c r="P7" s="22">
        <f t="shared" si="0"/>
        <v>3.4482758620689657</v>
      </c>
      <c r="Q7" s="22">
        <f t="shared" si="1"/>
        <v>10.752040042020878</v>
      </c>
    </row>
    <row r="8" spans="1:22" x14ac:dyDescent="0.35">
      <c r="A8">
        <v>1.1481536210000001</v>
      </c>
      <c r="B8">
        <v>-4.6884399999999999</v>
      </c>
      <c r="M8" s="20">
        <v>100</v>
      </c>
      <c r="N8" s="21">
        <v>0.92800000000000005</v>
      </c>
      <c r="O8" s="21">
        <v>3.2</v>
      </c>
      <c r="P8" s="22">
        <f t="shared" si="0"/>
        <v>3.4482758620689657</v>
      </c>
      <c r="Q8" s="22">
        <f t="shared" si="1"/>
        <v>10.752040042020878</v>
      </c>
    </row>
    <row r="9" spans="1:22" x14ac:dyDescent="0.35">
      <c r="A9">
        <v>1.174897555</v>
      </c>
      <c r="B9">
        <v>-4.4943900000000001</v>
      </c>
      <c r="M9" s="20">
        <v>300</v>
      </c>
      <c r="N9" s="21">
        <v>0.92800000000000005</v>
      </c>
      <c r="O9" s="21">
        <v>3.22</v>
      </c>
      <c r="P9" s="22">
        <f t="shared" si="0"/>
        <v>3.4698275862068968</v>
      </c>
      <c r="Q9" s="22">
        <f t="shared" si="1"/>
        <v>10.806157909539378</v>
      </c>
    </row>
    <row r="10" spans="1:22" x14ac:dyDescent="0.35">
      <c r="A10">
        <v>1.202264435</v>
      </c>
      <c r="B10">
        <v>-4.3006200000000003</v>
      </c>
      <c r="M10" s="20">
        <v>440</v>
      </c>
      <c r="N10" s="31">
        <v>0.93600000000000005</v>
      </c>
      <c r="O10" s="33">
        <v>3.24</v>
      </c>
      <c r="P10" s="22">
        <f t="shared" si="0"/>
        <v>3.4615384615384617</v>
      </c>
      <c r="Q10" s="22">
        <f t="shared" si="1"/>
        <v>10.785383229370138</v>
      </c>
    </row>
    <row r="11" spans="1:22" x14ac:dyDescent="0.35">
      <c r="A11">
        <v>1.230268771</v>
      </c>
      <c r="B11">
        <v>-4.1071299999999997</v>
      </c>
      <c r="M11" s="20">
        <v>500</v>
      </c>
      <c r="N11" s="21">
        <v>0.92800000000000005</v>
      </c>
      <c r="O11" s="21">
        <v>3.22</v>
      </c>
      <c r="P11" s="22">
        <f t="shared" si="0"/>
        <v>3.4698275862068968</v>
      </c>
      <c r="Q11" s="22">
        <f t="shared" si="1"/>
        <v>10.806157909539378</v>
      </c>
    </row>
    <row r="12" spans="1:22" x14ac:dyDescent="0.35">
      <c r="A12">
        <v>1.258925412</v>
      </c>
      <c r="B12">
        <v>-3.9139300000000001</v>
      </c>
      <c r="M12" s="20">
        <v>1000</v>
      </c>
      <c r="N12" s="25">
        <v>0.92800000000000005</v>
      </c>
      <c r="O12" s="25">
        <v>3.22</v>
      </c>
      <c r="P12" s="22">
        <f t="shared" si="0"/>
        <v>3.4698275862068968</v>
      </c>
      <c r="Q12" s="22">
        <f t="shared" si="1"/>
        <v>10.806157909539378</v>
      </c>
    </row>
    <row r="13" spans="1:22" x14ac:dyDescent="0.35">
      <c r="A13">
        <v>1.2882495519999999</v>
      </c>
      <c r="B13">
        <v>-3.72105</v>
      </c>
      <c r="M13" s="20">
        <v>3000</v>
      </c>
      <c r="N13" s="21">
        <v>0.94399999999999995</v>
      </c>
      <c r="O13" s="21">
        <v>3.24</v>
      </c>
      <c r="P13" s="22">
        <f t="shared" si="0"/>
        <v>3.4322033898305091</v>
      </c>
      <c r="Q13" s="22">
        <f t="shared" si="1"/>
        <v>10.711460318170865</v>
      </c>
    </row>
    <row r="14" spans="1:22" x14ac:dyDescent="0.35">
      <c r="A14">
        <v>1.318256739</v>
      </c>
      <c r="B14">
        <v>-3.5284800000000001</v>
      </c>
      <c r="M14" s="20">
        <v>5000</v>
      </c>
      <c r="N14" s="21">
        <v>0.95199999999999996</v>
      </c>
      <c r="O14" s="21">
        <v>3.2</v>
      </c>
      <c r="P14" s="22">
        <f t="shared" si="0"/>
        <v>3.3613445378151265</v>
      </c>
      <c r="Q14" s="22">
        <f t="shared" si="1"/>
        <v>10.530260598708633</v>
      </c>
    </row>
    <row r="15" spans="1:22" x14ac:dyDescent="0.35">
      <c r="A15">
        <v>1.348962883</v>
      </c>
      <c r="B15">
        <v>-3.3362599999999998</v>
      </c>
      <c r="M15" s="20">
        <v>10000</v>
      </c>
      <c r="N15" s="26">
        <v>0.94399999999999995</v>
      </c>
      <c r="O15" s="26">
        <v>3.06</v>
      </c>
      <c r="P15" s="27">
        <f t="shared" si="0"/>
        <v>3.2415254237288136</v>
      </c>
      <c r="Q15" s="27">
        <f t="shared" si="1"/>
        <v>10.214988643670219</v>
      </c>
    </row>
    <row r="16" spans="1:22" x14ac:dyDescent="0.35">
      <c r="A16">
        <v>1.380384265</v>
      </c>
      <c r="B16">
        <v>-3.14438</v>
      </c>
      <c r="M16" s="20">
        <v>20000</v>
      </c>
      <c r="N16" s="21">
        <v>0.94399999999999995</v>
      </c>
      <c r="O16" s="21">
        <v>2.64</v>
      </c>
      <c r="P16" s="22">
        <f t="shared" si="0"/>
        <v>2.7966101694915255</v>
      </c>
      <c r="Q16" s="22">
        <f t="shared" si="1"/>
        <v>8.9326386514352425</v>
      </c>
    </row>
    <row r="17" spans="1:23" x14ac:dyDescent="0.35">
      <c r="A17">
        <v>1.4125375449999999</v>
      </c>
      <c r="B17">
        <v>-2.9528699999999999</v>
      </c>
      <c r="M17" s="20">
        <v>30000</v>
      </c>
      <c r="N17" s="21">
        <v>0.94399999999999995</v>
      </c>
      <c r="O17" s="21">
        <v>2.2200000000000002</v>
      </c>
      <c r="P17" s="22">
        <f t="shared" si="0"/>
        <v>2.3516949152542375</v>
      </c>
      <c r="Q17" s="22">
        <f t="shared" si="1"/>
        <v>7.4276196030513937</v>
      </c>
    </row>
    <row r="18" spans="1:23" x14ac:dyDescent="0.35">
      <c r="A18">
        <v>1.445439771</v>
      </c>
      <c r="B18">
        <v>-2.7617500000000001</v>
      </c>
      <c r="M18" s="20">
        <v>50000</v>
      </c>
      <c r="N18" s="21">
        <v>0.94399999999999995</v>
      </c>
      <c r="O18" s="21">
        <v>1.62</v>
      </c>
      <c r="P18" s="22">
        <f t="shared" si="0"/>
        <v>1.7161016949152545</v>
      </c>
      <c r="Q18" s="22">
        <f t="shared" si="1"/>
        <v>4.6908604048912412</v>
      </c>
    </row>
    <row r="19" spans="1:23" x14ac:dyDescent="0.35">
      <c r="A19">
        <v>1.479108388</v>
      </c>
      <c r="B19">
        <v>-2.5710199999999999</v>
      </c>
      <c r="M19" s="20">
        <v>100000</v>
      </c>
      <c r="N19" s="21">
        <v>0.94399999999999995</v>
      </c>
      <c r="O19" s="21">
        <v>0.9</v>
      </c>
      <c r="P19" s="22">
        <f t="shared" si="0"/>
        <v>0.9533898305084747</v>
      </c>
      <c r="Q19" s="22">
        <f t="shared" si="1"/>
        <v>-0.41458969717488081</v>
      </c>
    </row>
    <row r="20" spans="1:23" x14ac:dyDescent="0.35">
      <c r="A20">
        <v>1.513561248</v>
      </c>
      <c r="B20">
        <v>-2.3807100000000001</v>
      </c>
      <c r="M20" s="20">
        <v>200000</v>
      </c>
      <c r="N20" s="21">
        <v>0.94399999999999995</v>
      </c>
      <c r="O20" s="21">
        <v>0.5</v>
      </c>
      <c r="P20" s="22">
        <f t="shared" si="0"/>
        <v>0.52966101694915257</v>
      </c>
      <c r="Q20" s="22">
        <f t="shared" si="1"/>
        <v>-5.5200397992410029</v>
      </c>
    </row>
    <row r="21" spans="1:23" x14ac:dyDescent="0.35">
      <c r="A21">
        <v>1.5488166189999999</v>
      </c>
      <c r="B21">
        <v>-2.1908300000000001</v>
      </c>
      <c r="M21" s="20">
        <v>300000</v>
      </c>
      <c r="N21" s="21">
        <v>0.93600000000000005</v>
      </c>
      <c r="O21" s="21">
        <v>0.38</v>
      </c>
      <c r="P21" s="22">
        <f t="shared" si="0"/>
        <v>0.40598290598290598</v>
      </c>
      <c r="Q21" s="22">
        <f t="shared" si="1"/>
        <v>-7.8298450424259016</v>
      </c>
    </row>
    <row r="22" spans="1:23" x14ac:dyDescent="0.35">
      <c r="A22">
        <v>1.584893192</v>
      </c>
      <c r="B22">
        <v>-2.0014099999999999</v>
      </c>
      <c r="M22" s="20">
        <v>500000</v>
      </c>
      <c r="N22" s="21">
        <v>0.93600000000000005</v>
      </c>
      <c r="O22" s="21">
        <v>0.28000000000000003</v>
      </c>
      <c r="P22" s="22">
        <f t="shared" si="0"/>
        <v>0.29914529914529914</v>
      </c>
      <c r="Q22" s="22">
        <f t="shared" si="1"/>
        <v>-10.482356347917721</v>
      </c>
    </row>
    <row r="23" spans="1:23" x14ac:dyDescent="0.35">
      <c r="A23">
        <v>1.621810097</v>
      </c>
      <c r="B23">
        <v>-1.8124499999999999</v>
      </c>
      <c r="M23" s="20">
        <v>1000000</v>
      </c>
      <c r="N23" s="21">
        <v>0.92</v>
      </c>
      <c r="O23" s="21">
        <v>0.13600000000000001</v>
      </c>
      <c r="P23" s="22">
        <f t="shared" si="0"/>
        <v>0.14782608695652175</v>
      </c>
      <c r="Q23" s="22">
        <f t="shared" si="1"/>
        <v>-16.604978379506754</v>
      </c>
    </row>
    <row r="24" spans="1:23" x14ac:dyDescent="0.35">
      <c r="A24">
        <v>1.659586907</v>
      </c>
      <c r="B24">
        <v>-1.62399</v>
      </c>
    </row>
    <row r="25" spans="1:23" x14ac:dyDescent="0.35">
      <c r="A25">
        <v>1.6982436519999999</v>
      </c>
      <c r="B25">
        <v>-1.43604</v>
      </c>
    </row>
    <row r="26" spans="1:23" x14ac:dyDescent="0.35">
      <c r="A26">
        <v>1.737800829</v>
      </c>
      <c r="B26">
        <v>-1.2486200000000001</v>
      </c>
    </row>
    <row r="27" spans="1:23" x14ac:dyDescent="0.35">
      <c r="A27">
        <v>1.7782794099999999</v>
      </c>
      <c r="B27">
        <v>-1.06175</v>
      </c>
    </row>
    <row r="28" spans="1:23" x14ac:dyDescent="0.35">
      <c r="A28">
        <v>1.8197008589999999</v>
      </c>
      <c r="B28">
        <v>-0.87545700000000004</v>
      </c>
      <c r="W28" t="s">
        <v>166</v>
      </c>
    </row>
    <row r="29" spans="1:23" x14ac:dyDescent="0.35">
      <c r="A29">
        <v>1.8620871370000001</v>
      </c>
      <c r="B29">
        <v>-0.68976599999999999</v>
      </c>
    </row>
    <row r="30" spans="1:23" x14ac:dyDescent="0.35">
      <c r="A30">
        <v>1.9054607180000001</v>
      </c>
      <c r="B30">
        <v>-0.50469900000000001</v>
      </c>
    </row>
    <row r="31" spans="1:23" x14ac:dyDescent="0.35">
      <c r="A31">
        <v>1.9498446</v>
      </c>
      <c r="B31">
        <v>-0.32028099999999998</v>
      </c>
    </row>
    <row r="32" spans="1:23" x14ac:dyDescent="0.35">
      <c r="A32">
        <v>1.995262315</v>
      </c>
      <c r="B32">
        <v>-0.13653799999999999</v>
      </c>
    </row>
    <row r="33" spans="1:2" x14ac:dyDescent="0.35">
      <c r="A33">
        <v>2.0417379449999999</v>
      </c>
      <c r="B33">
        <v>4.6503900000000001E-2</v>
      </c>
    </row>
    <row r="34" spans="1:2" x14ac:dyDescent="0.35">
      <c r="A34">
        <v>2.0892961309999998</v>
      </c>
      <c r="B34">
        <v>0.22881799999999999</v>
      </c>
    </row>
    <row r="35" spans="1:2" x14ac:dyDescent="0.35">
      <c r="A35">
        <v>2.1379620899999998</v>
      </c>
      <c r="B35">
        <v>0.41037400000000002</v>
      </c>
    </row>
    <row r="36" spans="1:2" x14ac:dyDescent="0.35">
      <c r="A36">
        <v>2.1877616240000002</v>
      </c>
      <c r="B36">
        <v>0.59114599999999995</v>
      </c>
    </row>
    <row r="37" spans="1:2" x14ac:dyDescent="0.35">
      <c r="A37">
        <v>2.2387211389999999</v>
      </c>
      <c r="B37">
        <v>0.77110199999999995</v>
      </c>
    </row>
    <row r="38" spans="1:2" x14ac:dyDescent="0.35">
      <c r="A38">
        <v>2.2908676529999998</v>
      </c>
      <c r="B38">
        <v>0.95021199999999995</v>
      </c>
    </row>
    <row r="39" spans="1:2" x14ac:dyDescent="0.35">
      <c r="A39">
        <v>2.3442288150000001</v>
      </c>
      <c r="B39">
        <v>1.1284400000000001</v>
      </c>
    </row>
    <row r="40" spans="1:2" x14ac:dyDescent="0.35">
      <c r="A40">
        <v>2.3988329190000002</v>
      </c>
      <c r="B40">
        <v>1.3057700000000001</v>
      </c>
    </row>
    <row r="41" spans="1:2" x14ac:dyDescent="0.35">
      <c r="A41">
        <v>2.454708916</v>
      </c>
      <c r="B41">
        <v>1.4821500000000001</v>
      </c>
    </row>
    <row r="42" spans="1:2" x14ac:dyDescent="0.35">
      <c r="A42">
        <v>2.5118864319999998</v>
      </c>
      <c r="B42">
        <v>1.6575500000000001</v>
      </c>
    </row>
    <row r="43" spans="1:2" x14ac:dyDescent="0.35">
      <c r="A43">
        <v>2.5703957829999999</v>
      </c>
      <c r="B43">
        <v>1.83195</v>
      </c>
    </row>
    <row r="44" spans="1:2" x14ac:dyDescent="0.35">
      <c r="A44">
        <v>2.6302679919999998</v>
      </c>
      <c r="B44">
        <v>2.00529</v>
      </c>
    </row>
    <row r="45" spans="1:2" x14ac:dyDescent="0.35">
      <c r="A45">
        <v>2.6915348039999998</v>
      </c>
      <c r="B45">
        <v>2.1775600000000002</v>
      </c>
    </row>
    <row r="46" spans="1:2" x14ac:dyDescent="0.35">
      <c r="A46">
        <v>2.7542287029999999</v>
      </c>
      <c r="B46">
        <v>2.3487100000000001</v>
      </c>
    </row>
    <row r="47" spans="1:2" x14ac:dyDescent="0.35">
      <c r="A47">
        <v>2.8183829309999999</v>
      </c>
      <c r="B47">
        <v>2.5186999999999999</v>
      </c>
    </row>
    <row r="48" spans="1:2" x14ac:dyDescent="0.35">
      <c r="A48">
        <v>2.8840315030000001</v>
      </c>
      <c r="B48">
        <v>2.6875</v>
      </c>
    </row>
    <row r="49" spans="1:2" x14ac:dyDescent="0.35">
      <c r="A49">
        <v>2.9512092270000001</v>
      </c>
      <c r="B49">
        <v>2.8550599999999999</v>
      </c>
    </row>
    <row r="50" spans="1:2" x14ac:dyDescent="0.35">
      <c r="A50">
        <v>3.0199517199999999</v>
      </c>
      <c r="B50">
        <v>3.02136</v>
      </c>
    </row>
    <row r="51" spans="1:2" x14ac:dyDescent="0.35">
      <c r="A51">
        <v>3.0902954330000001</v>
      </c>
      <c r="B51">
        <v>3.18634</v>
      </c>
    </row>
    <row r="52" spans="1:2" x14ac:dyDescent="0.35">
      <c r="A52">
        <v>3.16227766</v>
      </c>
      <c r="B52">
        <v>3.34998</v>
      </c>
    </row>
    <row r="53" spans="1:2" x14ac:dyDescent="0.35">
      <c r="A53">
        <v>3.2359365690000002</v>
      </c>
      <c r="B53">
        <v>3.5122200000000001</v>
      </c>
    </row>
    <row r="54" spans="1:2" x14ac:dyDescent="0.35">
      <c r="A54">
        <v>3.3113112149999999</v>
      </c>
      <c r="B54">
        <v>3.6730299999999998</v>
      </c>
    </row>
    <row r="55" spans="1:2" x14ac:dyDescent="0.35">
      <c r="A55">
        <v>3.388441561</v>
      </c>
      <c r="B55">
        <v>3.8323800000000001</v>
      </c>
    </row>
    <row r="56" spans="1:2" x14ac:dyDescent="0.35">
      <c r="A56">
        <v>3.467368505</v>
      </c>
      <c r="B56">
        <v>3.9902099999999998</v>
      </c>
    </row>
    <row r="57" spans="1:2" x14ac:dyDescent="0.35">
      <c r="A57">
        <v>3.5481338920000001</v>
      </c>
      <c r="B57">
        <v>4.1464800000000004</v>
      </c>
    </row>
    <row r="58" spans="1:2" x14ac:dyDescent="0.35">
      <c r="A58">
        <v>3.6307805480000002</v>
      </c>
      <c r="B58">
        <v>4.3011699999999999</v>
      </c>
    </row>
    <row r="59" spans="1:2" x14ac:dyDescent="0.35">
      <c r="A59">
        <v>3.7153522909999999</v>
      </c>
      <c r="B59">
        <v>4.4542200000000003</v>
      </c>
    </row>
    <row r="60" spans="1:2" x14ac:dyDescent="0.35">
      <c r="A60">
        <v>3.8018939629999999</v>
      </c>
      <c r="B60">
        <v>4.6055900000000003</v>
      </c>
    </row>
    <row r="61" spans="1:2" x14ac:dyDescent="0.35">
      <c r="A61">
        <v>3.89045145</v>
      </c>
      <c r="B61">
        <v>4.7552500000000002</v>
      </c>
    </row>
    <row r="62" spans="1:2" x14ac:dyDescent="0.35">
      <c r="A62">
        <v>3.9810717059999998</v>
      </c>
      <c r="B62">
        <v>4.9031599999999997</v>
      </c>
    </row>
    <row r="63" spans="1:2" x14ac:dyDescent="0.35">
      <c r="A63">
        <v>4.0738027780000001</v>
      </c>
      <c r="B63">
        <v>5.0492699999999999</v>
      </c>
    </row>
    <row r="64" spans="1:2" x14ac:dyDescent="0.35">
      <c r="A64">
        <v>4.168693835</v>
      </c>
      <c r="B64">
        <v>5.1935500000000001</v>
      </c>
    </row>
    <row r="65" spans="1:2" x14ac:dyDescent="0.35">
      <c r="A65">
        <v>4.2657951880000002</v>
      </c>
      <c r="B65">
        <v>5.33596</v>
      </c>
    </row>
    <row r="66" spans="1:2" x14ac:dyDescent="0.35">
      <c r="A66">
        <v>4.3651583220000001</v>
      </c>
      <c r="B66">
        <v>5.4764600000000003</v>
      </c>
    </row>
    <row r="67" spans="1:2" x14ac:dyDescent="0.35">
      <c r="A67">
        <v>4.4668359219999996</v>
      </c>
      <c r="B67">
        <v>5.6150200000000003</v>
      </c>
    </row>
    <row r="68" spans="1:2" x14ac:dyDescent="0.35">
      <c r="A68">
        <v>4.5708818960000004</v>
      </c>
      <c r="B68">
        <v>5.7516100000000003</v>
      </c>
    </row>
    <row r="69" spans="1:2" x14ac:dyDescent="0.35">
      <c r="A69">
        <v>4.6773514130000002</v>
      </c>
      <c r="B69">
        <v>5.8861800000000004</v>
      </c>
    </row>
    <row r="70" spans="1:2" x14ac:dyDescent="0.35">
      <c r="A70">
        <v>4.7863009229999998</v>
      </c>
      <c r="B70">
        <v>6.0187099999999996</v>
      </c>
    </row>
    <row r="71" spans="1:2" x14ac:dyDescent="0.35">
      <c r="A71">
        <v>4.8977881940000003</v>
      </c>
      <c r="B71">
        <v>6.1491600000000002</v>
      </c>
    </row>
    <row r="72" spans="1:2" x14ac:dyDescent="0.35">
      <c r="A72">
        <v>5.0118723359999997</v>
      </c>
      <c r="B72">
        <v>6.27752</v>
      </c>
    </row>
    <row r="73" spans="1:2" x14ac:dyDescent="0.35">
      <c r="A73">
        <v>5.1286138399999999</v>
      </c>
      <c r="B73">
        <v>6.40374</v>
      </c>
    </row>
    <row r="74" spans="1:2" x14ac:dyDescent="0.35">
      <c r="A74">
        <v>5.248074602</v>
      </c>
      <c r="B74">
        <v>6.5278</v>
      </c>
    </row>
    <row r="75" spans="1:2" x14ac:dyDescent="0.35">
      <c r="A75">
        <v>5.3703179639999998</v>
      </c>
      <c r="B75">
        <v>6.6496899999999997</v>
      </c>
    </row>
    <row r="76" spans="1:2" x14ac:dyDescent="0.35">
      <c r="A76">
        <v>5.4954087390000002</v>
      </c>
      <c r="B76">
        <v>6.7693700000000003</v>
      </c>
    </row>
    <row r="77" spans="1:2" x14ac:dyDescent="0.35">
      <c r="A77">
        <v>5.6234132519999998</v>
      </c>
      <c r="B77">
        <v>6.8868200000000002</v>
      </c>
    </row>
    <row r="78" spans="1:2" x14ac:dyDescent="0.35">
      <c r="A78">
        <v>5.754399373</v>
      </c>
      <c r="B78">
        <v>7.00204</v>
      </c>
    </row>
    <row r="79" spans="1:2" x14ac:dyDescent="0.35">
      <c r="A79">
        <v>5.8884365540000001</v>
      </c>
      <c r="B79">
        <v>7.1150000000000002</v>
      </c>
    </row>
    <row r="80" spans="1:2" x14ac:dyDescent="0.35">
      <c r="A80">
        <v>6.0255958610000002</v>
      </c>
      <c r="B80">
        <v>7.2256900000000002</v>
      </c>
    </row>
    <row r="81" spans="1:2" x14ac:dyDescent="0.35">
      <c r="A81">
        <v>6.1659500190000003</v>
      </c>
      <c r="B81">
        <v>7.3341000000000003</v>
      </c>
    </row>
    <row r="82" spans="1:2" x14ac:dyDescent="0.35">
      <c r="A82">
        <v>6.3095734449999998</v>
      </c>
      <c r="B82">
        <v>7.4402200000000001</v>
      </c>
    </row>
    <row r="83" spans="1:2" x14ac:dyDescent="0.35">
      <c r="A83">
        <v>6.4565422899999998</v>
      </c>
      <c r="B83">
        <v>7.5440399999999999</v>
      </c>
    </row>
    <row r="84" spans="1:2" x14ac:dyDescent="0.35">
      <c r="A84">
        <v>6.6069344799999996</v>
      </c>
      <c r="B84">
        <v>7.6455599999999997</v>
      </c>
    </row>
    <row r="85" spans="1:2" x14ac:dyDescent="0.35">
      <c r="A85">
        <v>6.7608297540000004</v>
      </c>
      <c r="B85">
        <v>7.7447800000000004</v>
      </c>
    </row>
    <row r="86" spans="1:2" x14ac:dyDescent="0.35">
      <c r="A86">
        <v>6.9183097089999999</v>
      </c>
      <c r="B86">
        <v>7.8416899999999998</v>
      </c>
    </row>
    <row r="87" spans="1:2" x14ac:dyDescent="0.35">
      <c r="A87">
        <v>7.0794578440000002</v>
      </c>
      <c r="B87">
        <v>7.9363099999999998</v>
      </c>
    </row>
    <row r="88" spans="1:2" x14ac:dyDescent="0.35">
      <c r="A88">
        <v>7.2443596010000002</v>
      </c>
      <c r="B88">
        <v>8.0286399999999993</v>
      </c>
    </row>
    <row r="89" spans="1:2" x14ac:dyDescent="0.35">
      <c r="A89">
        <v>7.4131024129999998</v>
      </c>
      <c r="B89">
        <v>8.1186799999999995</v>
      </c>
    </row>
    <row r="90" spans="1:2" x14ac:dyDescent="0.35">
      <c r="A90">
        <v>7.5857757499999998</v>
      </c>
      <c r="B90">
        <v>8.2064500000000002</v>
      </c>
    </row>
    <row r="91" spans="1:2" x14ac:dyDescent="0.35">
      <c r="A91">
        <v>7.7624711660000001</v>
      </c>
      <c r="B91">
        <v>8.2919499999999999</v>
      </c>
    </row>
    <row r="92" spans="1:2" x14ac:dyDescent="0.35">
      <c r="A92">
        <v>7.9432823470000002</v>
      </c>
      <c r="B92">
        <v>8.3752099999999992</v>
      </c>
    </row>
    <row r="93" spans="1:2" x14ac:dyDescent="0.35">
      <c r="A93">
        <v>8.1283051620000002</v>
      </c>
      <c r="B93">
        <v>8.4562399999999993</v>
      </c>
    </row>
    <row r="94" spans="1:2" x14ac:dyDescent="0.35">
      <c r="A94">
        <v>8.3176377109999997</v>
      </c>
      <c r="B94">
        <v>8.5350699999999993</v>
      </c>
    </row>
    <row r="95" spans="1:2" x14ac:dyDescent="0.35">
      <c r="A95">
        <v>8.5113803820000005</v>
      </c>
      <c r="B95">
        <v>8.6117000000000008</v>
      </c>
    </row>
    <row r="96" spans="1:2" x14ac:dyDescent="0.35">
      <c r="A96">
        <v>8.7096359000000003</v>
      </c>
      <c r="B96">
        <v>8.6861700000000006</v>
      </c>
    </row>
    <row r="97" spans="1:2" x14ac:dyDescent="0.35">
      <c r="A97">
        <v>8.9125093809999996</v>
      </c>
      <c r="B97">
        <v>8.7584999999999997</v>
      </c>
    </row>
    <row r="98" spans="1:2" x14ac:dyDescent="0.35">
      <c r="A98">
        <v>9.1201083940000007</v>
      </c>
      <c r="B98">
        <v>8.8287099999999992</v>
      </c>
    </row>
    <row r="99" spans="1:2" x14ac:dyDescent="0.35">
      <c r="A99">
        <v>9.332543008</v>
      </c>
      <c r="B99">
        <v>8.8968500000000006</v>
      </c>
    </row>
    <row r="100" spans="1:2" x14ac:dyDescent="0.35">
      <c r="A100">
        <v>9.5499258600000001</v>
      </c>
      <c r="B100">
        <v>8.9629300000000001</v>
      </c>
    </row>
    <row r="101" spans="1:2" x14ac:dyDescent="0.35">
      <c r="A101">
        <v>9.7723722100000003</v>
      </c>
      <c r="B101">
        <v>9.02698</v>
      </c>
    </row>
    <row r="102" spans="1:2" x14ac:dyDescent="0.35">
      <c r="A102">
        <v>10</v>
      </c>
      <c r="B102">
        <v>9.0890599999999999</v>
      </c>
    </row>
    <row r="103" spans="1:2" x14ac:dyDescent="0.35">
      <c r="A103">
        <v>10.23292992</v>
      </c>
      <c r="B103">
        <v>9.1491699999999998</v>
      </c>
    </row>
    <row r="104" spans="1:2" x14ac:dyDescent="0.35">
      <c r="A104">
        <v>10.471285480000001</v>
      </c>
      <c r="B104">
        <v>9.2073699999999992</v>
      </c>
    </row>
    <row r="105" spans="1:2" x14ac:dyDescent="0.35">
      <c r="A105">
        <v>10.71519305</v>
      </c>
      <c r="B105">
        <v>9.2636900000000004</v>
      </c>
    </row>
    <row r="106" spans="1:2" x14ac:dyDescent="0.35">
      <c r="A106">
        <v>10.96478196</v>
      </c>
      <c r="B106">
        <v>9.3181600000000007</v>
      </c>
    </row>
    <row r="107" spans="1:2" x14ac:dyDescent="0.35">
      <c r="A107">
        <v>11.22018454</v>
      </c>
      <c r="B107">
        <v>9.3708200000000001</v>
      </c>
    </row>
    <row r="108" spans="1:2" x14ac:dyDescent="0.35">
      <c r="A108">
        <v>11.48153621</v>
      </c>
      <c r="B108">
        <v>9.4217200000000005</v>
      </c>
    </row>
    <row r="109" spans="1:2" x14ac:dyDescent="0.35">
      <c r="A109">
        <v>11.748975550000001</v>
      </c>
      <c r="B109">
        <v>9.4708900000000007</v>
      </c>
    </row>
    <row r="110" spans="1:2" x14ac:dyDescent="0.35">
      <c r="A110">
        <v>12.02264435</v>
      </c>
      <c r="B110">
        <v>9.5183800000000005</v>
      </c>
    </row>
    <row r="111" spans="1:2" x14ac:dyDescent="0.35">
      <c r="A111">
        <v>12.302687710000001</v>
      </c>
      <c r="B111">
        <v>9.5642099999999992</v>
      </c>
    </row>
    <row r="112" spans="1:2" x14ac:dyDescent="0.35">
      <c r="A112">
        <v>12.58925412</v>
      </c>
      <c r="B112">
        <v>9.6084399999999999</v>
      </c>
    </row>
    <row r="113" spans="1:2" x14ac:dyDescent="0.35">
      <c r="A113">
        <v>12.882495520000001</v>
      </c>
      <c r="B113">
        <v>9.6511099999999992</v>
      </c>
    </row>
    <row r="114" spans="1:2" x14ac:dyDescent="0.35">
      <c r="A114">
        <v>13.182567390000001</v>
      </c>
      <c r="B114">
        <v>9.6922499999999996</v>
      </c>
    </row>
    <row r="115" spans="1:2" x14ac:dyDescent="0.35">
      <c r="A115">
        <v>13.489628829999999</v>
      </c>
      <c r="B115">
        <v>9.7318999999999996</v>
      </c>
    </row>
    <row r="116" spans="1:2" x14ac:dyDescent="0.35">
      <c r="A116">
        <v>13.80384265</v>
      </c>
      <c r="B116">
        <v>9.7701100000000007</v>
      </c>
    </row>
    <row r="117" spans="1:2" x14ac:dyDescent="0.35">
      <c r="A117">
        <v>14.12537545</v>
      </c>
      <c r="B117">
        <v>9.8069199999999999</v>
      </c>
    </row>
    <row r="118" spans="1:2" x14ac:dyDescent="0.35">
      <c r="A118">
        <v>14.45439771</v>
      </c>
      <c r="B118">
        <v>9.8423599999999993</v>
      </c>
    </row>
    <row r="119" spans="1:2" x14ac:dyDescent="0.35">
      <c r="A119">
        <v>14.79108388</v>
      </c>
      <c r="B119">
        <v>9.8764900000000004</v>
      </c>
    </row>
    <row r="120" spans="1:2" x14ac:dyDescent="0.35">
      <c r="A120">
        <v>15.135612480000001</v>
      </c>
      <c r="B120">
        <v>9.9093199999999992</v>
      </c>
    </row>
    <row r="121" spans="1:2" x14ac:dyDescent="0.35">
      <c r="A121">
        <v>15.488166189999999</v>
      </c>
      <c r="B121">
        <v>9.9409200000000002</v>
      </c>
    </row>
    <row r="122" spans="1:2" x14ac:dyDescent="0.35">
      <c r="A122">
        <v>15.84893192</v>
      </c>
      <c r="B122">
        <v>9.9712999999999994</v>
      </c>
    </row>
    <row r="123" spans="1:2" x14ac:dyDescent="0.35">
      <c r="A123">
        <v>16.218100969999998</v>
      </c>
      <c r="B123">
        <v>10.000500000000001</v>
      </c>
    </row>
    <row r="124" spans="1:2" x14ac:dyDescent="0.35">
      <c r="A124">
        <v>16.595869069999999</v>
      </c>
      <c r="B124">
        <v>10.028600000000001</v>
      </c>
    </row>
    <row r="125" spans="1:2" x14ac:dyDescent="0.35">
      <c r="A125">
        <v>16.98243652</v>
      </c>
      <c r="B125">
        <v>10.0556</v>
      </c>
    </row>
    <row r="126" spans="1:2" x14ac:dyDescent="0.35">
      <c r="A126">
        <v>17.37800829</v>
      </c>
      <c r="B126">
        <v>10.0815</v>
      </c>
    </row>
    <row r="127" spans="1:2" x14ac:dyDescent="0.35">
      <c r="A127">
        <v>17.7827941</v>
      </c>
      <c r="B127">
        <v>10.1065</v>
      </c>
    </row>
    <row r="128" spans="1:2" x14ac:dyDescent="0.35">
      <c r="A128">
        <v>18.197008589999999</v>
      </c>
      <c r="B128">
        <v>10.1304</v>
      </c>
    </row>
    <row r="129" spans="1:2" x14ac:dyDescent="0.35">
      <c r="A129">
        <v>18.62087137</v>
      </c>
      <c r="B129">
        <v>10.1534</v>
      </c>
    </row>
    <row r="130" spans="1:2" x14ac:dyDescent="0.35">
      <c r="A130">
        <v>19.054607180000001</v>
      </c>
      <c r="B130">
        <v>10.1754</v>
      </c>
    </row>
    <row r="131" spans="1:2" x14ac:dyDescent="0.35">
      <c r="A131">
        <v>19.498446000000001</v>
      </c>
      <c r="B131">
        <v>10.1966</v>
      </c>
    </row>
    <row r="132" spans="1:2" x14ac:dyDescent="0.35">
      <c r="A132">
        <v>19.952623150000001</v>
      </c>
      <c r="B132">
        <v>10.216900000000001</v>
      </c>
    </row>
    <row r="133" spans="1:2" x14ac:dyDescent="0.35">
      <c r="A133">
        <v>20.417379449999999</v>
      </c>
      <c r="B133">
        <v>10.2364</v>
      </c>
    </row>
    <row r="134" spans="1:2" x14ac:dyDescent="0.35">
      <c r="A134">
        <v>20.89296131</v>
      </c>
      <c r="B134">
        <v>10.255100000000001</v>
      </c>
    </row>
    <row r="135" spans="1:2" x14ac:dyDescent="0.35">
      <c r="A135">
        <v>21.379620899999999</v>
      </c>
      <c r="B135">
        <v>10.273</v>
      </c>
    </row>
    <row r="136" spans="1:2" x14ac:dyDescent="0.35">
      <c r="A136">
        <v>21.877616239999998</v>
      </c>
      <c r="B136">
        <v>10.2902</v>
      </c>
    </row>
    <row r="137" spans="1:2" x14ac:dyDescent="0.35">
      <c r="A137">
        <v>22.387211390000001</v>
      </c>
      <c r="B137">
        <v>10.306699999999999</v>
      </c>
    </row>
    <row r="138" spans="1:2" x14ac:dyDescent="0.35">
      <c r="A138">
        <v>22.908676530000001</v>
      </c>
      <c r="B138">
        <v>10.3225</v>
      </c>
    </row>
    <row r="139" spans="1:2" x14ac:dyDescent="0.35">
      <c r="A139">
        <v>23.44228815</v>
      </c>
      <c r="B139">
        <v>10.3376</v>
      </c>
    </row>
    <row r="140" spans="1:2" x14ac:dyDescent="0.35">
      <c r="A140">
        <v>23.988329190000002</v>
      </c>
      <c r="B140">
        <v>10.3521</v>
      </c>
    </row>
    <row r="141" spans="1:2" x14ac:dyDescent="0.35">
      <c r="A141">
        <v>24.547089159999999</v>
      </c>
      <c r="B141">
        <v>10.366</v>
      </c>
    </row>
    <row r="142" spans="1:2" x14ac:dyDescent="0.35">
      <c r="A142">
        <v>25.11886432</v>
      </c>
      <c r="B142">
        <v>10.379300000000001</v>
      </c>
    </row>
    <row r="143" spans="1:2" x14ac:dyDescent="0.35">
      <c r="A143">
        <v>25.70395783</v>
      </c>
      <c r="B143">
        <v>10.392099999999999</v>
      </c>
    </row>
    <row r="144" spans="1:2" x14ac:dyDescent="0.35">
      <c r="A144">
        <v>26.302679919999999</v>
      </c>
      <c r="B144">
        <v>10.404299999999999</v>
      </c>
    </row>
    <row r="145" spans="1:2" x14ac:dyDescent="0.35">
      <c r="A145">
        <v>26.915348040000001</v>
      </c>
      <c r="B145">
        <v>10.416</v>
      </c>
    </row>
    <row r="146" spans="1:2" x14ac:dyDescent="0.35">
      <c r="A146">
        <v>27.542287030000001</v>
      </c>
      <c r="B146">
        <v>10.427199999999999</v>
      </c>
    </row>
    <row r="147" spans="1:2" x14ac:dyDescent="0.35">
      <c r="A147">
        <v>28.18382931</v>
      </c>
      <c r="B147">
        <v>10.437900000000001</v>
      </c>
    </row>
    <row r="148" spans="1:2" x14ac:dyDescent="0.35">
      <c r="A148">
        <v>28.840315029999999</v>
      </c>
      <c r="B148">
        <v>10.4482</v>
      </c>
    </row>
    <row r="149" spans="1:2" x14ac:dyDescent="0.35">
      <c r="A149">
        <v>29.51209227</v>
      </c>
      <c r="B149">
        <v>10.458</v>
      </c>
    </row>
    <row r="150" spans="1:2" x14ac:dyDescent="0.35">
      <c r="A150">
        <v>30.199517199999999</v>
      </c>
      <c r="B150">
        <v>10.4674</v>
      </c>
    </row>
    <row r="151" spans="1:2" x14ac:dyDescent="0.35">
      <c r="A151">
        <v>30.90295433</v>
      </c>
      <c r="B151">
        <v>10.4764</v>
      </c>
    </row>
    <row r="152" spans="1:2" x14ac:dyDescent="0.35">
      <c r="A152">
        <v>31.622776600000002</v>
      </c>
      <c r="B152">
        <v>10.484999999999999</v>
      </c>
    </row>
    <row r="153" spans="1:2" x14ac:dyDescent="0.35">
      <c r="A153">
        <v>32.359365689999997</v>
      </c>
      <c r="B153">
        <v>10.4933</v>
      </c>
    </row>
    <row r="154" spans="1:2" x14ac:dyDescent="0.35">
      <c r="A154">
        <v>33.113112149999999</v>
      </c>
      <c r="B154">
        <v>10.501200000000001</v>
      </c>
    </row>
    <row r="155" spans="1:2" x14ac:dyDescent="0.35">
      <c r="A155">
        <v>33.884415609999998</v>
      </c>
      <c r="B155">
        <v>10.508699999999999</v>
      </c>
    </row>
    <row r="156" spans="1:2" x14ac:dyDescent="0.35">
      <c r="A156">
        <v>34.673685050000003</v>
      </c>
      <c r="B156">
        <v>10.5159</v>
      </c>
    </row>
    <row r="157" spans="1:2" x14ac:dyDescent="0.35">
      <c r="A157">
        <v>35.481338919999999</v>
      </c>
      <c r="B157">
        <v>10.5228</v>
      </c>
    </row>
    <row r="158" spans="1:2" x14ac:dyDescent="0.35">
      <c r="A158">
        <v>36.307805479999999</v>
      </c>
      <c r="B158">
        <v>10.529400000000001</v>
      </c>
    </row>
    <row r="159" spans="1:2" x14ac:dyDescent="0.35">
      <c r="A159">
        <v>37.15352291</v>
      </c>
      <c r="B159">
        <v>10.5357</v>
      </c>
    </row>
    <row r="160" spans="1:2" x14ac:dyDescent="0.35">
      <c r="A160">
        <v>38.018939629999998</v>
      </c>
      <c r="B160">
        <v>10.5418</v>
      </c>
    </row>
    <row r="161" spans="1:2" x14ac:dyDescent="0.35">
      <c r="A161">
        <v>38.904514499999998</v>
      </c>
      <c r="B161">
        <v>10.547499999999999</v>
      </c>
    </row>
    <row r="162" spans="1:2" x14ac:dyDescent="0.35">
      <c r="A162">
        <v>39.810717060000002</v>
      </c>
      <c r="B162">
        <v>10.553100000000001</v>
      </c>
    </row>
    <row r="163" spans="1:2" x14ac:dyDescent="0.35">
      <c r="A163">
        <v>40.738027780000003</v>
      </c>
      <c r="B163">
        <v>10.558400000000001</v>
      </c>
    </row>
    <row r="164" spans="1:2" x14ac:dyDescent="0.35">
      <c r="A164">
        <v>41.686938349999998</v>
      </c>
      <c r="B164">
        <v>10.5634</v>
      </c>
    </row>
    <row r="165" spans="1:2" x14ac:dyDescent="0.35">
      <c r="A165">
        <v>42.657951879999999</v>
      </c>
      <c r="B165">
        <v>10.568199999999999</v>
      </c>
    </row>
    <row r="166" spans="1:2" x14ac:dyDescent="0.35">
      <c r="A166">
        <v>43.651583219999999</v>
      </c>
      <c r="B166">
        <v>10.572800000000001</v>
      </c>
    </row>
    <row r="167" spans="1:2" x14ac:dyDescent="0.35">
      <c r="A167">
        <v>44.668359219999999</v>
      </c>
      <c r="B167">
        <v>10.577299999999999</v>
      </c>
    </row>
    <row r="168" spans="1:2" x14ac:dyDescent="0.35">
      <c r="A168">
        <v>45.708818960000002</v>
      </c>
      <c r="B168">
        <v>10.5815</v>
      </c>
    </row>
    <row r="169" spans="1:2" x14ac:dyDescent="0.35">
      <c r="A169">
        <v>46.773514130000002</v>
      </c>
      <c r="B169">
        <v>10.5855</v>
      </c>
    </row>
    <row r="170" spans="1:2" x14ac:dyDescent="0.35">
      <c r="A170">
        <v>47.863009230000003</v>
      </c>
      <c r="B170">
        <v>10.589399999999999</v>
      </c>
    </row>
    <row r="171" spans="1:2" x14ac:dyDescent="0.35">
      <c r="A171">
        <v>48.977881940000003</v>
      </c>
      <c r="B171">
        <v>10.593</v>
      </c>
    </row>
    <row r="172" spans="1:2" x14ac:dyDescent="0.35">
      <c r="A172">
        <v>50.118723359999997</v>
      </c>
      <c r="B172">
        <v>10.5966</v>
      </c>
    </row>
    <row r="173" spans="1:2" x14ac:dyDescent="0.35">
      <c r="A173">
        <v>51.286138399999999</v>
      </c>
      <c r="B173">
        <v>10.5999</v>
      </c>
    </row>
    <row r="174" spans="1:2" x14ac:dyDescent="0.35">
      <c r="A174">
        <v>52.480746019999998</v>
      </c>
      <c r="B174">
        <v>10.6031</v>
      </c>
    </row>
    <row r="175" spans="1:2" x14ac:dyDescent="0.35">
      <c r="A175">
        <v>53.703179640000002</v>
      </c>
      <c r="B175">
        <v>10.606199999999999</v>
      </c>
    </row>
    <row r="176" spans="1:2" x14ac:dyDescent="0.35">
      <c r="A176">
        <v>54.954087389999998</v>
      </c>
      <c r="B176">
        <v>10.6091</v>
      </c>
    </row>
    <row r="177" spans="1:2" x14ac:dyDescent="0.35">
      <c r="A177">
        <v>56.234132520000003</v>
      </c>
      <c r="B177">
        <v>10.6119</v>
      </c>
    </row>
    <row r="178" spans="1:2" x14ac:dyDescent="0.35">
      <c r="A178">
        <v>57.543993729999997</v>
      </c>
      <c r="B178">
        <v>10.614599999999999</v>
      </c>
    </row>
    <row r="179" spans="1:2" x14ac:dyDescent="0.35">
      <c r="A179">
        <v>58.884365539999997</v>
      </c>
      <c r="B179">
        <v>10.6172</v>
      </c>
    </row>
    <row r="180" spans="1:2" x14ac:dyDescent="0.35">
      <c r="A180">
        <v>60.25595861</v>
      </c>
      <c r="B180">
        <v>10.6196</v>
      </c>
    </row>
    <row r="181" spans="1:2" x14ac:dyDescent="0.35">
      <c r="A181">
        <v>61.659500190000003</v>
      </c>
      <c r="B181">
        <v>10.622</v>
      </c>
    </row>
    <row r="182" spans="1:2" x14ac:dyDescent="0.35">
      <c r="A182">
        <v>63.095734450000002</v>
      </c>
      <c r="B182">
        <v>10.6242</v>
      </c>
    </row>
    <row r="183" spans="1:2" x14ac:dyDescent="0.35">
      <c r="A183">
        <v>64.565422900000002</v>
      </c>
      <c r="B183">
        <v>10.626300000000001</v>
      </c>
    </row>
    <row r="184" spans="1:2" x14ac:dyDescent="0.35">
      <c r="A184">
        <v>66.069344799999996</v>
      </c>
      <c r="B184">
        <v>10.628399999999999</v>
      </c>
    </row>
    <row r="185" spans="1:2" x14ac:dyDescent="0.35">
      <c r="A185">
        <v>67.608297539999995</v>
      </c>
      <c r="B185">
        <v>10.6303</v>
      </c>
    </row>
    <row r="186" spans="1:2" x14ac:dyDescent="0.35">
      <c r="A186">
        <v>69.183097090000004</v>
      </c>
      <c r="B186">
        <v>10.632199999999999</v>
      </c>
    </row>
    <row r="187" spans="1:2" x14ac:dyDescent="0.35">
      <c r="A187">
        <v>70.794578439999995</v>
      </c>
      <c r="B187">
        <v>10.634</v>
      </c>
    </row>
    <row r="188" spans="1:2" x14ac:dyDescent="0.35">
      <c r="A188">
        <v>72.443596009999993</v>
      </c>
      <c r="B188">
        <v>10.6357</v>
      </c>
    </row>
    <row r="189" spans="1:2" x14ac:dyDescent="0.35">
      <c r="A189">
        <v>74.13102413</v>
      </c>
      <c r="B189">
        <v>10.6373</v>
      </c>
    </row>
    <row r="190" spans="1:2" x14ac:dyDescent="0.35">
      <c r="A190">
        <v>75.857757500000005</v>
      </c>
      <c r="B190">
        <v>10.6388</v>
      </c>
    </row>
    <row r="191" spans="1:2" x14ac:dyDescent="0.35">
      <c r="A191">
        <v>77.624711660000003</v>
      </c>
      <c r="B191">
        <v>10.6403</v>
      </c>
    </row>
    <row r="192" spans="1:2" x14ac:dyDescent="0.35">
      <c r="A192">
        <v>79.432823470000002</v>
      </c>
      <c r="B192">
        <v>10.6417</v>
      </c>
    </row>
    <row r="193" spans="1:2" x14ac:dyDescent="0.35">
      <c r="A193">
        <v>81.283051619999995</v>
      </c>
      <c r="B193">
        <v>10.6431</v>
      </c>
    </row>
    <row r="194" spans="1:2" x14ac:dyDescent="0.35">
      <c r="A194">
        <v>83.176377110000004</v>
      </c>
      <c r="B194">
        <v>10.644399999999999</v>
      </c>
    </row>
    <row r="195" spans="1:2" x14ac:dyDescent="0.35">
      <c r="A195">
        <v>85.113803820000001</v>
      </c>
      <c r="B195">
        <v>10.6456</v>
      </c>
    </row>
    <row r="196" spans="1:2" x14ac:dyDescent="0.35">
      <c r="A196">
        <v>87.096359000000007</v>
      </c>
      <c r="B196">
        <v>10.646800000000001</v>
      </c>
    </row>
    <row r="197" spans="1:2" x14ac:dyDescent="0.35">
      <c r="A197">
        <v>89.125093809999996</v>
      </c>
      <c r="B197">
        <v>10.6479</v>
      </c>
    </row>
    <row r="198" spans="1:2" x14ac:dyDescent="0.35">
      <c r="A198">
        <v>91.201083940000004</v>
      </c>
      <c r="B198">
        <v>10.648999999999999</v>
      </c>
    </row>
    <row r="199" spans="1:2" x14ac:dyDescent="0.35">
      <c r="A199">
        <v>93.325430080000004</v>
      </c>
      <c r="B199">
        <v>10.65</v>
      </c>
    </row>
    <row r="200" spans="1:2" x14ac:dyDescent="0.35">
      <c r="A200">
        <v>95.499258600000005</v>
      </c>
      <c r="B200">
        <v>10.651</v>
      </c>
    </row>
    <row r="201" spans="1:2" x14ac:dyDescent="0.35">
      <c r="A201">
        <v>97.723722100000003</v>
      </c>
      <c r="B201">
        <v>10.651899999999999</v>
      </c>
    </row>
    <row r="202" spans="1:2" x14ac:dyDescent="0.35">
      <c r="A202">
        <v>100</v>
      </c>
      <c r="B202">
        <v>10.652799999999999</v>
      </c>
    </row>
    <row r="203" spans="1:2" x14ac:dyDescent="0.35">
      <c r="A203">
        <v>102.32929919999999</v>
      </c>
      <c r="B203">
        <v>10.653700000000001</v>
      </c>
    </row>
    <row r="204" spans="1:2" x14ac:dyDescent="0.35">
      <c r="A204">
        <v>104.7128548</v>
      </c>
      <c r="B204">
        <v>10.654500000000001</v>
      </c>
    </row>
    <row r="205" spans="1:2" x14ac:dyDescent="0.35">
      <c r="A205">
        <v>107.15193050000001</v>
      </c>
      <c r="B205">
        <v>10.6553</v>
      </c>
    </row>
    <row r="206" spans="1:2" x14ac:dyDescent="0.35">
      <c r="A206">
        <v>109.64781960000001</v>
      </c>
      <c r="B206">
        <v>10.656000000000001</v>
      </c>
    </row>
    <row r="207" spans="1:2" x14ac:dyDescent="0.35">
      <c r="A207">
        <v>112.2018454</v>
      </c>
      <c r="B207">
        <v>10.656700000000001</v>
      </c>
    </row>
    <row r="208" spans="1:2" x14ac:dyDescent="0.35">
      <c r="A208">
        <v>114.8153621</v>
      </c>
      <c r="B208">
        <v>10.657400000000001</v>
      </c>
    </row>
    <row r="209" spans="1:2" x14ac:dyDescent="0.35">
      <c r="A209">
        <v>117.4897555</v>
      </c>
      <c r="B209">
        <v>10.657999999999999</v>
      </c>
    </row>
    <row r="210" spans="1:2" x14ac:dyDescent="0.35">
      <c r="A210">
        <v>120.2264435</v>
      </c>
      <c r="B210">
        <v>10.6587</v>
      </c>
    </row>
    <row r="211" spans="1:2" x14ac:dyDescent="0.35">
      <c r="A211">
        <v>123.02687709999999</v>
      </c>
      <c r="B211">
        <v>10.6593</v>
      </c>
    </row>
    <row r="212" spans="1:2" x14ac:dyDescent="0.35">
      <c r="A212">
        <v>125.8925412</v>
      </c>
      <c r="B212">
        <v>10.659800000000001</v>
      </c>
    </row>
    <row r="213" spans="1:2" x14ac:dyDescent="0.35">
      <c r="A213">
        <v>128.82495520000001</v>
      </c>
      <c r="B213">
        <v>10.660399999999999</v>
      </c>
    </row>
    <row r="214" spans="1:2" x14ac:dyDescent="0.35">
      <c r="A214">
        <v>131.8256739</v>
      </c>
      <c r="B214">
        <v>10.6609</v>
      </c>
    </row>
    <row r="215" spans="1:2" x14ac:dyDescent="0.35">
      <c r="A215">
        <v>134.89628830000001</v>
      </c>
      <c r="B215">
        <v>10.6614</v>
      </c>
    </row>
    <row r="216" spans="1:2" x14ac:dyDescent="0.35">
      <c r="A216">
        <v>138.03842650000001</v>
      </c>
      <c r="B216">
        <v>10.661799999999999</v>
      </c>
    </row>
    <row r="217" spans="1:2" x14ac:dyDescent="0.35">
      <c r="A217">
        <v>141.25375450000001</v>
      </c>
      <c r="B217">
        <v>10.6623</v>
      </c>
    </row>
    <row r="218" spans="1:2" x14ac:dyDescent="0.35">
      <c r="A218">
        <v>144.54397710000001</v>
      </c>
      <c r="B218">
        <v>10.662699999999999</v>
      </c>
    </row>
    <row r="219" spans="1:2" x14ac:dyDescent="0.35">
      <c r="A219">
        <v>147.91083879999999</v>
      </c>
      <c r="B219">
        <v>10.6631</v>
      </c>
    </row>
    <row r="220" spans="1:2" x14ac:dyDescent="0.35">
      <c r="A220">
        <v>151.3561248</v>
      </c>
      <c r="B220">
        <v>10.663500000000001</v>
      </c>
    </row>
    <row r="221" spans="1:2" x14ac:dyDescent="0.35">
      <c r="A221">
        <v>154.88166190000001</v>
      </c>
      <c r="B221">
        <v>10.6639</v>
      </c>
    </row>
    <row r="222" spans="1:2" x14ac:dyDescent="0.35">
      <c r="A222">
        <v>158.48931920000001</v>
      </c>
      <c r="B222">
        <v>10.664199999999999</v>
      </c>
    </row>
    <row r="223" spans="1:2" x14ac:dyDescent="0.35">
      <c r="A223">
        <v>162.1810097</v>
      </c>
      <c r="B223">
        <v>10.6645</v>
      </c>
    </row>
    <row r="224" spans="1:2" x14ac:dyDescent="0.35">
      <c r="A224">
        <v>165.95869070000001</v>
      </c>
      <c r="B224">
        <v>10.664899999999999</v>
      </c>
    </row>
    <row r="225" spans="1:2" x14ac:dyDescent="0.35">
      <c r="A225">
        <v>169.82436519999999</v>
      </c>
      <c r="B225">
        <v>10.6652</v>
      </c>
    </row>
    <row r="226" spans="1:2" x14ac:dyDescent="0.35">
      <c r="A226">
        <v>173.7800829</v>
      </c>
      <c r="B226">
        <v>10.6655</v>
      </c>
    </row>
    <row r="227" spans="1:2" x14ac:dyDescent="0.35">
      <c r="A227">
        <v>177.82794100000001</v>
      </c>
      <c r="B227">
        <v>10.665699999999999</v>
      </c>
    </row>
    <row r="228" spans="1:2" x14ac:dyDescent="0.35">
      <c r="A228">
        <v>181.97008589999999</v>
      </c>
      <c r="B228">
        <v>10.666</v>
      </c>
    </row>
    <row r="229" spans="1:2" x14ac:dyDescent="0.35">
      <c r="A229">
        <v>186.2087137</v>
      </c>
      <c r="B229">
        <v>10.6662</v>
      </c>
    </row>
    <row r="230" spans="1:2" x14ac:dyDescent="0.35">
      <c r="A230">
        <v>190.54607179999999</v>
      </c>
      <c r="B230">
        <v>10.666499999999999</v>
      </c>
    </row>
    <row r="231" spans="1:2" x14ac:dyDescent="0.35">
      <c r="A231">
        <v>194.98446000000001</v>
      </c>
      <c r="B231">
        <v>10.666700000000001</v>
      </c>
    </row>
    <row r="232" spans="1:2" x14ac:dyDescent="0.35">
      <c r="A232">
        <v>199.52623149999999</v>
      </c>
      <c r="B232">
        <v>10.6669</v>
      </c>
    </row>
    <row r="233" spans="1:2" x14ac:dyDescent="0.35">
      <c r="A233">
        <v>204.17379450000001</v>
      </c>
      <c r="B233">
        <v>10.6671</v>
      </c>
    </row>
    <row r="234" spans="1:2" x14ac:dyDescent="0.35">
      <c r="A234">
        <v>208.92961310000001</v>
      </c>
      <c r="B234">
        <v>10.667299999999999</v>
      </c>
    </row>
    <row r="235" spans="1:2" x14ac:dyDescent="0.35">
      <c r="A235">
        <v>213.796209</v>
      </c>
      <c r="B235">
        <v>10.6675</v>
      </c>
    </row>
    <row r="236" spans="1:2" x14ac:dyDescent="0.35">
      <c r="A236">
        <v>218.7761624</v>
      </c>
      <c r="B236">
        <v>10.6677</v>
      </c>
    </row>
    <row r="237" spans="1:2" x14ac:dyDescent="0.35">
      <c r="A237">
        <v>223.87211389999999</v>
      </c>
      <c r="B237">
        <v>10.6678</v>
      </c>
    </row>
    <row r="238" spans="1:2" x14ac:dyDescent="0.35">
      <c r="A238">
        <v>229.0867653</v>
      </c>
      <c r="B238">
        <v>10.667999999999999</v>
      </c>
    </row>
    <row r="239" spans="1:2" x14ac:dyDescent="0.35">
      <c r="A239">
        <v>234.42288149999999</v>
      </c>
      <c r="B239">
        <v>10.668200000000001</v>
      </c>
    </row>
    <row r="240" spans="1:2" x14ac:dyDescent="0.35">
      <c r="A240">
        <v>239.88329189999999</v>
      </c>
      <c r="B240">
        <v>10.6683</v>
      </c>
    </row>
    <row r="241" spans="1:2" x14ac:dyDescent="0.35">
      <c r="A241">
        <v>245.47089159999999</v>
      </c>
      <c r="B241">
        <v>10.6684</v>
      </c>
    </row>
    <row r="242" spans="1:2" x14ac:dyDescent="0.35">
      <c r="A242">
        <v>251.1886432</v>
      </c>
      <c r="B242">
        <v>10.6686</v>
      </c>
    </row>
    <row r="243" spans="1:2" x14ac:dyDescent="0.35">
      <c r="A243">
        <v>257.03957830000002</v>
      </c>
      <c r="B243">
        <v>10.668699999999999</v>
      </c>
    </row>
    <row r="244" spans="1:2" x14ac:dyDescent="0.35">
      <c r="A244">
        <v>263.02679920000003</v>
      </c>
      <c r="B244">
        <v>10.668799999999999</v>
      </c>
    </row>
    <row r="245" spans="1:2" x14ac:dyDescent="0.35">
      <c r="A245">
        <v>269.15348039999998</v>
      </c>
      <c r="B245">
        <v>10.668900000000001</v>
      </c>
    </row>
    <row r="246" spans="1:2" x14ac:dyDescent="0.35">
      <c r="A246">
        <v>275.4228703</v>
      </c>
      <c r="B246">
        <v>10.669</v>
      </c>
    </row>
    <row r="247" spans="1:2" x14ac:dyDescent="0.35">
      <c r="A247">
        <v>281.83829309999999</v>
      </c>
      <c r="B247">
        <v>10.6691</v>
      </c>
    </row>
    <row r="248" spans="1:2" x14ac:dyDescent="0.35">
      <c r="A248">
        <v>288.40315029999999</v>
      </c>
      <c r="B248">
        <v>10.6692</v>
      </c>
    </row>
    <row r="249" spans="1:2" x14ac:dyDescent="0.35">
      <c r="A249">
        <v>295.12092269999999</v>
      </c>
      <c r="B249">
        <v>10.6693</v>
      </c>
    </row>
    <row r="250" spans="1:2" x14ac:dyDescent="0.35">
      <c r="A250">
        <v>301.99517200000003</v>
      </c>
      <c r="B250">
        <v>10.6693</v>
      </c>
    </row>
    <row r="251" spans="1:2" x14ac:dyDescent="0.35">
      <c r="A251">
        <v>309.0295433</v>
      </c>
      <c r="B251">
        <v>10.6694</v>
      </c>
    </row>
    <row r="252" spans="1:2" x14ac:dyDescent="0.35">
      <c r="A252">
        <v>316.22776599999997</v>
      </c>
      <c r="B252">
        <v>10.669499999999999</v>
      </c>
    </row>
    <row r="253" spans="1:2" x14ac:dyDescent="0.35">
      <c r="A253">
        <v>323.59365689999998</v>
      </c>
      <c r="B253">
        <v>10.669499999999999</v>
      </c>
    </row>
    <row r="254" spans="1:2" x14ac:dyDescent="0.35">
      <c r="A254">
        <v>331.13112150000001</v>
      </c>
      <c r="B254">
        <v>10.669600000000001</v>
      </c>
    </row>
    <row r="255" spans="1:2" x14ac:dyDescent="0.35">
      <c r="A255">
        <v>338.84415610000002</v>
      </c>
      <c r="B255">
        <v>10.669600000000001</v>
      </c>
    </row>
    <row r="256" spans="1:2" x14ac:dyDescent="0.35">
      <c r="A256">
        <v>346.7368505</v>
      </c>
      <c r="B256">
        <v>10.669700000000001</v>
      </c>
    </row>
    <row r="257" spans="1:2" x14ac:dyDescent="0.35">
      <c r="A257">
        <v>354.81338920000002</v>
      </c>
      <c r="B257">
        <v>10.669700000000001</v>
      </c>
    </row>
    <row r="258" spans="1:2" x14ac:dyDescent="0.35">
      <c r="A258">
        <v>363.07805480000002</v>
      </c>
      <c r="B258">
        <v>10.669700000000001</v>
      </c>
    </row>
    <row r="259" spans="1:2" x14ac:dyDescent="0.35">
      <c r="A259">
        <v>371.53522909999998</v>
      </c>
      <c r="B259">
        <v>10.6698</v>
      </c>
    </row>
    <row r="260" spans="1:2" x14ac:dyDescent="0.35">
      <c r="A260">
        <v>380.1893963</v>
      </c>
      <c r="B260">
        <v>10.6698</v>
      </c>
    </row>
    <row r="261" spans="1:2" x14ac:dyDescent="0.35">
      <c r="A261">
        <v>389.04514499999999</v>
      </c>
      <c r="B261">
        <v>10.6698</v>
      </c>
    </row>
    <row r="262" spans="1:2" x14ac:dyDescent="0.35">
      <c r="A262">
        <v>398.10717060000002</v>
      </c>
      <c r="B262">
        <v>10.6698</v>
      </c>
    </row>
    <row r="263" spans="1:2" x14ac:dyDescent="0.35">
      <c r="A263">
        <v>407.38027779999999</v>
      </c>
      <c r="B263">
        <v>10.6699</v>
      </c>
    </row>
    <row r="264" spans="1:2" x14ac:dyDescent="0.35">
      <c r="A264">
        <v>416.86938350000003</v>
      </c>
      <c r="B264">
        <v>10.6699</v>
      </c>
    </row>
    <row r="265" spans="1:2" x14ac:dyDescent="0.35">
      <c r="A265">
        <v>426.57951880000002</v>
      </c>
      <c r="B265">
        <v>10.6699</v>
      </c>
    </row>
    <row r="266" spans="1:2" x14ac:dyDescent="0.35">
      <c r="A266">
        <v>436.51583219999998</v>
      </c>
      <c r="B266">
        <v>10.6699</v>
      </c>
    </row>
    <row r="267" spans="1:2" x14ac:dyDescent="0.35">
      <c r="A267">
        <v>446.68359220000002</v>
      </c>
      <c r="B267">
        <v>10.6699</v>
      </c>
    </row>
    <row r="268" spans="1:2" x14ac:dyDescent="0.35">
      <c r="A268">
        <v>457.08818960000002</v>
      </c>
      <c r="B268">
        <v>10.6698</v>
      </c>
    </row>
    <row r="269" spans="1:2" x14ac:dyDescent="0.35">
      <c r="A269">
        <v>467.73514130000001</v>
      </c>
      <c r="B269">
        <v>10.6698</v>
      </c>
    </row>
    <row r="270" spans="1:2" x14ac:dyDescent="0.35">
      <c r="A270">
        <v>478.6300923</v>
      </c>
      <c r="B270">
        <v>10.6698</v>
      </c>
    </row>
    <row r="271" spans="1:2" x14ac:dyDescent="0.35">
      <c r="A271">
        <v>489.77881939999997</v>
      </c>
      <c r="B271">
        <v>10.6698</v>
      </c>
    </row>
    <row r="272" spans="1:2" x14ac:dyDescent="0.35">
      <c r="A272">
        <v>501.18723360000001</v>
      </c>
      <c r="B272">
        <v>10.6698</v>
      </c>
    </row>
    <row r="273" spans="1:2" x14ac:dyDescent="0.35">
      <c r="A273">
        <v>512.86138400000004</v>
      </c>
      <c r="B273">
        <v>10.669700000000001</v>
      </c>
    </row>
    <row r="274" spans="1:2" x14ac:dyDescent="0.35">
      <c r="A274">
        <v>524.80746020000004</v>
      </c>
      <c r="B274">
        <v>10.669700000000001</v>
      </c>
    </row>
    <row r="275" spans="1:2" x14ac:dyDescent="0.35">
      <c r="A275">
        <v>537.03179639999996</v>
      </c>
      <c r="B275">
        <v>10.669700000000001</v>
      </c>
    </row>
    <row r="276" spans="1:2" x14ac:dyDescent="0.35">
      <c r="A276">
        <v>549.54087389999995</v>
      </c>
      <c r="B276">
        <v>10.669600000000001</v>
      </c>
    </row>
    <row r="277" spans="1:2" x14ac:dyDescent="0.35">
      <c r="A277">
        <v>562.34132520000003</v>
      </c>
      <c r="B277">
        <v>10.669600000000001</v>
      </c>
    </row>
    <row r="278" spans="1:2" x14ac:dyDescent="0.35">
      <c r="A278">
        <v>575.4399373</v>
      </c>
      <c r="B278">
        <v>10.669499999999999</v>
      </c>
    </row>
    <row r="279" spans="1:2" x14ac:dyDescent="0.35">
      <c r="A279">
        <v>588.84365539999999</v>
      </c>
      <c r="B279">
        <v>10.6694</v>
      </c>
    </row>
    <row r="280" spans="1:2" x14ac:dyDescent="0.35">
      <c r="A280">
        <v>602.55958610000005</v>
      </c>
      <c r="B280">
        <v>10.6694</v>
      </c>
    </row>
    <row r="281" spans="1:2" x14ac:dyDescent="0.35">
      <c r="A281">
        <v>616.59500190000006</v>
      </c>
      <c r="B281">
        <v>10.6693</v>
      </c>
    </row>
    <row r="282" spans="1:2" x14ac:dyDescent="0.35">
      <c r="A282">
        <v>630.95734449999998</v>
      </c>
      <c r="B282">
        <v>10.6692</v>
      </c>
    </row>
    <row r="283" spans="1:2" x14ac:dyDescent="0.35">
      <c r="A283">
        <v>645.65422899999999</v>
      </c>
      <c r="B283">
        <v>10.6691</v>
      </c>
    </row>
    <row r="284" spans="1:2" x14ac:dyDescent="0.35">
      <c r="A284">
        <v>660.69344799999999</v>
      </c>
      <c r="B284">
        <v>10.669</v>
      </c>
    </row>
    <row r="285" spans="1:2" x14ac:dyDescent="0.35">
      <c r="A285">
        <v>676.08297540000001</v>
      </c>
      <c r="B285">
        <v>10.668900000000001</v>
      </c>
    </row>
    <row r="286" spans="1:2" x14ac:dyDescent="0.35">
      <c r="A286">
        <v>691.83097090000001</v>
      </c>
      <c r="B286">
        <v>10.668799999999999</v>
      </c>
    </row>
    <row r="287" spans="1:2" x14ac:dyDescent="0.35">
      <c r="A287">
        <v>707.94578439999998</v>
      </c>
      <c r="B287">
        <v>10.668699999999999</v>
      </c>
    </row>
    <row r="288" spans="1:2" x14ac:dyDescent="0.35">
      <c r="A288">
        <v>724.43596009999999</v>
      </c>
      <c r="B288">
        <v>10.6686</v>
      </c>
    </row>
    <row r="289" spans="1:2" x14ac:dyDescent="0.35">
      <c r="A289">
        <v>741.31024130000003</v>
      </c>
      <c r="B289">
        <v>10.6685</v>
      </c>
    </row>
    <row r="290" spans="1:2" x14ac:dyDescent="0.35">
      <c r="A290">
        <v>758.57757500000002</v>
      </c>
      <c r="B290">
        <v>10.6684</v>
      </c>
    </row>
    <row r="291" spans="1:2" x14ac:dyDescent="0.35">
      <c r="A291">
        <v>776.24711660000003</v>
      </c>
      <c r="B291">
        <v>10.668200000000001</v>
      </c>
    </row>
    <row r="292" spans="1:2" x14ac:dyDescent="0.35">
      <c r="A292">
        <v>794.32823470000005</v>
      </c>
      <c r="B292">
        <v>10.668100000000001</v>
      </c>
    </row>
    <row r="293" spans="1:2" x14ac:dyDescent="0.35">
      <c r="A293">
        <v>812.83051620000003</v>
      </c>
      <c r="B293">
        <v>10.667899999999999</v>
      </c>
    </row>
    <row r="294" spans="1:2" x14ac:dyDescent="0.35">
      <c r="A294">
        <v>831.76377109999999</v>
      </c>
      <c r="B294">
        <v>10.6678</v>
      </c>
    </row>
    <row r="295" spans="1:2" x14ac:dyDescent="0.35">
      <c r="A295">
        <v>851.13803819999998</v>
      </c>
      <c r="B295">
        <v>10.6676</v>
      </c>
    </row>
    <row r="296" spans="1:2" x14ac:dyDescent="0.35">
      <c r="A296">
        <v>870.96358999999995</v>
      </c>
      <c r="B296">
        <v>10.667400000000001</v>
      </c>
    </row>
    <row r="297" spans="1:2" x14ac:dyDescent="0.35">
      <c r="A297">
        <v>891.25093809999998</v>
      </c>
      <c r="B297">
        <v>10.667199999999999</v>
      </c>
    </row>
    <row r="298" spans="1:2" x14ac:dyDescent="0.35">
      <c r="A298">
        <v>912.01083940000001</v>
      </c>
      <c r="B298">
        <v>10.667</v>
      </c>
    </row>
    <row r="299" spans="1:2" x14ac:dyDescent="0.35">
      <c r="A299">
        <v>933.25430080000001</v>
      </c>
      <c r="B299">
        <v>10.6668</v>
      </c>
    </row>
    <row r="300" spans="1:2" x14ac:dyDescent="0.35">
      <c r="A300">
        <v>954.99258599999996</v>
      </c>
      <c r="B300">
        <v>10.666600000000001</v>
      </c>
    </row>
    <row r="301" spans="1:2" x14ac:dyDescent="0.35">
      <c r="A301">
        <v>977.23722099999998</v>
      </c>
      <c r="B301">
        <v>10.666399999999999</v>
      </c>
    </row>
    <row r="302" spans="1:2" x14ac:dyDescent="0.35">
      <c r="A302">
        <v>1000</v>
      </c>
      <c r="B302">
        <v>10.6661</v>
      </c>
    </row>
    <row r="303" spans="1:2" x14ac:dyDescent="0.35">
      <c r="A303">
        <v>1023.292992</v>
      </c>
      <c r="B303">
        <v>10.665900000000001</v>
      </c>
    </row>
    <row r="304" spans="1:2" x14ac:dyDescent="0.35">
      <c r="A304">
        <v>1047.1285479999999</v>
      </c>
      <c r="B304">
        <v>10.6656</v>
      </c>
    </row>
    <row r="305" spans="1:2" x14ac:dyDescent="0.35">
      <c r="A305">
        <v>1071.519305</v>
      </c>
      <c r="B305">
        <v>10.6653</v>
      </c>
    </row>
    <row r="306" spans="1:2" x14ac:dyDescent="0.35">
      <c r="A306">
        <v>1096.478196</v>
      </c>
      <c r="B306">
        <v>10.664999999999999</v>
      </c>
    </row>
    <row r="307" spans="1:2" x14ac:dyDescent="0.35">
      <c r="A307">
        <v>1122.018454</v>
      </c>
      <c r="B307">
        <v>10.6647</v>
      </c>
    </row>
    <row r="308" spans="1:2" x14ac:dyDescent="0.35">
      <c r="A308">
        <v>1148.1536209999999</v>
      </c>
      <c r="B308">
        <v>10.664400000000001</v>
      </c>
    </row>
    <row r="309" spans="1:2" x14ac:dyDescent="0.35">
      <c r="A309">
        <v>1174.897555</v>
      </c>
      <c r="B309">
        <v>10.664</v>
      </c>
    </row>
    <row r="310" spans="1:2" x14ac:dyDescent="0.35">
      <c r="A310">
        <v>1202.264435</v>
      </c>
      <c r="B310">
        <v>10.6637</v>
      </c>
    </row>
    <row r="311" spans="1:2" x14ac:dyDescent="0.35">
      <c r="A311">
        <v>1230.268771</v>
      </c>
      <c r="B311">
        <v>10.6633</v>
      </c>
    </row>
    <row r="312" spans="1:2" x14ac:dyDescent="0.35">
      <c r="A312">
        <v>1258.9254120000001</v>
      </c>
      <c r="B312">
        <v>10.6629</v>
      </c>
    </row>
    <row r="313" spans="1:2" x14ac:dyDescent="0.35">
      <c r="A313">
        <v>1288.249552</v>
      </c>
      <c r="B313">
        <v>10.6625</v>
      </c>
    </row>
    <row r="314" spans="1:2" x14ac:dyDescent="0.35">
      <c r="A314">
        <v>1318.2567389999999</v>
      </c>
      <c r="B314">
        <v>10.662000000000001</v>
      </c>
    </row>
    <row r="315" spans="1:2" x14ac:dyDescent="0.35">
      <c r="A315">
        <v>1348.9628829999999</v>
      </c>
      <c r="B315">
        <v>10.6616</v>
      </c>
    </row>
    <row r="316" spans="1:2" x14ac:dyDescent="0.35">
      <c r="A316">
        <v>1380.3842649999999</v>
      </c>
      <c r="B316">
        <v>10.661099999999999</v>
      </c>
    </row>
    <row r="317" spans="1:2" x14ac:dyDescent="0.35">
      <c r="A317">
        <v>1412.5375449999999</v>
      </c>
      <c r="B317">
        <v>10.660600000000001</v>
      </c>
    </row>
    <row r="318" spans="1:2" x14ac:dyDescent="0.35">
      <c r="A318">
        <v>1445.4397710000001</v>
      </c>
      <c r="B318">
        <v>10.6601</v>
      </c>
    </row>
    <row r="319" spans="1:2" x14ac:dyDescent="0.35">
      <c r="A319">
        <v>1479.1083880000001</v>
      </c>
      <c r="B319">
        <v>10.6595</v>
      </c>
    </row>
    <row r="320" spans="1:2" x14ac:dyDescent="0.35">
      <c r="A320">
        <v>1513.561248</v>
      </c>
      <c r="B320">
        <v>10.659000000000001</v>
      </c>
    </row>
    <row r="321" spans="1:2" x14ac:dyDescent="0.35">
      <c r="A321">
        <v>1548.8166189999999</v>
      </c>
      <c r="B321">
        <v>10.6584</v>
      </c>
    </row>
    <row r="322" spans="1:2" x14ac:dyDescent="0.35">
      <c r="A322">
        <v>1584.893192</v>
      </c>
      <c r="B322">
        <v>10.6577</v>
      </c>
    </row>
    <row r="323" spans="1:2" x14ac:dyDescent="0.35">
      <c r="A323">
        <v>1621.810097</v>
      </c>
      <c r="B323">
        <v>10.6571</v>
      </c>
    </row>
    <row r="324" spans="1:2" x14ac:dyDescent="0.35">
      <c r="A324">
        <v>1659.5869070000001</v>
      </c>
      <c r="B324">
        <v>10.6564</v>
      </c>
    </row>
    <row r="325" spans="1:2" x14ac:dyDescent="0.35">
      <c r="A325">
        <v>1698.2436520000001</v>
      </c>
      <c r="B325">
        <v>10.6556</v>
      </c>
    </row>
    <row r="326" spans="1:2" x14ac:dyDescent="0.35">
      <c r="A326">
        <v>1737.800829</v>
      </c>
      <c r="B326">
        <v>10.6549</v>
      </c>
    </row>
    <row r="327" spans="1:2" x14ac:dyDescent="0.35">
      <c r="A327">
        <v>1778.2794100000001</v>
      </c>
      <c r="B327">
        <v>10.6541</v>
      </c>
    </row>
    <row r="328" spans="1:2" x14ac:dyDescent="0.35">
      <c r="A328">
        <v>1819.700859</v>
      </c>
      <c r="B328">
        <v>10.6533</v>
      </c>
    </row>
    <row r="329" spans="1:2" x14ac:dyDescent="0.35">
      <c r="A329">
        <v>1862.087137</v>
      </c>
      <c r="B329">
        <v>10.6524</v>
      </c>
    </row>
    <row r="330" spans="1:2" x14ac:dyDescent="0.35">
      <c r="A330">
        <v>1905.460718</v>
      </c>
      <c r="B330">
        <v>10.6515</v>
      </c>
    </row>
    <row r="331" spans="1:2" x14ac:dyDescent="0.35">
      <c r="A331">
        <v>1949.8445999999999</v>
      </c>
      <c r="B331">
        <v>10.650499999999999</v>
      </c>
    </row>
    <row r="332" spans="1:2" x14ac:dyDescent="0.35">
      <c r="A332">
        <v>1995.2623149999999</v>
      </c>
      <c r="B332">
        <v>10.6495</v>
      </c>
    </row>
    <row r="333" spans="1:2" x14ac:dyDescent="0.35">
      <c r="A333">
        <v>2041.7379450000001</v>
      </c>
      <c r="B333">
        <v>10.6485</v>
      </c>
    </row>
    <row r="334" spans="1:2" x14ac:dyDescent="0.35">
      <c r="A334">
        <v>2089.2961310000001</v>
      </c>
      <c r="B334">
        <v>10.647399999999999</v>
      </c>
    </row>
    <row r="335" spans="1:2" x14ac:dyDescent="0.35">
      <c r="A335">
        <v>2137.96209</v>
      </c>
      <c r="B335">
        <v>10.6462</v>
      </c>
    </row>
    <row r="336" spans="1:2" x14ac:dyDescent="0.35">
      <c r="A336">
        <v>2187.7616240000002</v>
      </c>
      <c r="B336">
        <v>10.645</v>
      </c>
    </row>
    <row r="337" spans="1:2" x14ac:dyDescent="0.35">
      <c r="A337">
        <v>2238.7211390000002</v>
      </c>
      <c r="B337">
        <v>10.643700000000001</v>
      </c>
    </row>
    <row r="338" spans="1:2" x14ac:dyDescent="0.35">
      <c r="A338">
        <v>2290.8676529999998</v>
      </c>
      <c r="B338">
        <v>10.6424</v>
      </c>
    </row>
    <row r="339" spans="1:2" x14ac:dyDescent="0.35">
      <c r="A339">
        <v>2344.2288149999999</v>
      </c>
      <c r="B339">
        <v>10.641</v>
      </c>
    </row>
    <row r="340" spans="1:2" x14ac:dyDescent="0.35">
      <c r="A340">
        <v>2398.8329189999999</v>
      </c>
      <c r="B340">
        <v>10.6396</v>
      </c>
    </row>
    <row r="341" spans="1:2" x14ac:dyDescent="0.35">
      <c r="A341">
        <v>2454.708916</v>
      </c>
      <c r="B341">
        <v>10.6381</v>
      </c>
    </row>
    <row r="342" spans="1:2" x14ac:dyDescent="0.35">
      <c r="A342">
        <v>2511.8864319999998</v>
      </c>
      <c r="B342">
        <v>10.6365</v>
      </c>
    </row>
    <row r="343" spans="1:2" x14ac:dyDescent="0.35">
      <c r="A343">
        <v>2570.3957829999999</v>
      </c>
      <c r="B343">
        <v>10.6348</v>
      </c>
    </row>
    <row r="344" spans="1:2" x14ac:dyDescent="0.35">
      <c r="A344">
        <v>2630.267992</v>
      </c>
      <c r="B344">
        <v>10.633100000000001</v>
      </c>
    </row>
    <row r="345" spans="1:2" x14ac:dyDescent="0.35">
      <c r="A345">
        <v>2691.5348039999999</v>
      </c>
      <c r="B345">
        <v>10.6313</v>
      </c>
    </row>
    <row r="346" spans="1:2" x14ac:dyDescent="0.35">
      <c r="A346">
        <v>2754.2287030000002</v>
      </c>
      <c r="B346">
        <v>10.6294</v>
      </c>
    </row>
    <row r="347" spans="1:2" x14ac:dyDescent="0.35">
      <c r="A347">
        <v>2818.3829310000001</v>
      </c>
      <c r="B347">
        <v>10.6274</v>
      </c>
    </row>
    <row r="348" spans="1:2" x14ac:dyDescent="0.35">
      <c r="A348">
        <v>2884.0315030000002</v>
      </c>
      <c r="B348">
        <v>10.625299999999999</v>
      </c>
    </row>
    <row r="349" spans="1:2" x14ac:dyDescent="0.35">
      <c r="A349">
        <v>2951.2092269999998</v>
      </c>
      <c r="B349">
        <v>10.623100000000001</v>
      </c>
    </row>
    <row r="350" spans="1:2" x14ac:dyDescent="0.35">
      <c r="A350">
        <v>3019.95172</v>
      </c>
      <c r="B350">
        <v>10.620799999999999</v>
      </c>
    </row>
    <row r="351" spans="1:2" x14ac:dyDescent="0.35">
      <c r="A351">
        <v>3090.2954329999998</v>
      </c>
      <c r="B351">
        <v>10.618399999999999</v>
      </c>
    </row>
    <row r="352" spans="1:2" x14ac:dyDescent="0.35">
      <c r="A352">
        <v>3162.2776600000002</v>
      </c>
      <c r="B352">
        <v>10.6159</v>
      </c>
    </row>
    <row r="353" spans="1:2" x14ac:dyDescent="0.35">
      <c r="A353">
        <v>3235.936569</v>
      </c>
      <c r="B353">
        <v>10.613300000000001</v>
      </c>
    </row>
    <row r="354" spans="1:2" x14ac:dyDescent="0.35">
      <c r="A354">
        <v>3311.3112150000002</v>
      </c>
      <c r="B354">
        <v>10.6105</v>
      </c>
    </row>
    <row r="355" spans="1:2" x14ac:dyDescent="0.35">
      <c r="A355">
        <v>3388.4415610000001</v>
      </c>
      <c r="B355">
        <v>10.607699999999999</v>
      </c>
    </row>
    <row r="356" spans="1:2" x14ac:dyDescent="0.35">
      <c r="A356">
        <v>3467.3685049999999</v>
      </c>
      <c r="B356">
        <v>10.604699999999999</v>
      </c>
    </row>
    <row r="357" spans="1:2" x14ac:dyDescent="0.35">
      <c r="A357">
        <v>3548.1338919999998</v>
      </c>
      <c r="B357">
        <v>10.6015</v>
      </c>
    </row>
    <row r="358" spans="1:2" x14ac:dyDescent="0.35">
      <c r="A358">
        <v>3630.7805480000002</v>
      </c>
      <c r="B358">
        <v>10.5982</v>
      </c>
    </row>
    <row r="359" spans="1:2" x14ac:dyDescent="0.35">
      <c r="A359">
        <v>3715.3522910000002</v>
      </c>
      <c r="B359">
        <v>10.594799999999999</v>
      </c>
    </row>
    <row r="360" spans="1:2" x14ac:dyDescent="0.35">
      <c r="A360">
        <v>3801.893963</v>
      </c>
      <c r="B360">
        <v>10.591200000000001</v>
      </c>
    </row>
    <row r="361" spans="1:2" x14ac:dyDescent="0.35">
      <c r="A361">
        <v>3890.45145</v>
      </c>
      <c r="B361">
        <v>10.587400000000001</v>
      </c>
    </row>
    <row r="362" spans="1:2" x14ac:dyDescent="0.35">
      <c r="A362">
        <v>3981.0717060000002</v>
      </c>
      <c r="B362">
        <v>10.583500000000001</v>
      </c>
    </row>
    <row r="363" spans="1:2" x14ac:dyDescent="0.35">
      <c r="A363">
        <v>4073.8027780000002</v>
      </c>
      <c r="B363">
        <v>10.5794</v>
      </c>
    </row>
    <row r="364" spans="1:2" x14ac:dyDescent="0.35">
      <c r="A364">
        <v>4168.693835</v>
      </c>
      <c r="B364">
        <v>10.575100000000001</v>
      </c>
    </row>
    <row r="365" spans="1:2" x14ac:dyDescent="0.35">
      <c r="A365">
        <v>4265.7951880000001</v>
      </c>
      <c r="B365">
        <v>10.570499999999999</v>
      </c>
    </row>
    <row r="366" spans="1:2" x14ac:dyDescent="0.35">
      <c r="A366">
        <v>4365.1583220000002</v>
      </c>
      <c r="B366">
        <v>10.565799999999999</v>
      </c>
    </row>
    <row r="367" spans="1:2" x14ac:dyDescent="0.35">
      <c r="A367">
        <v>4466.8359220000002</v>
      </c>
      <c r="B367">
        <v>10.5609</v>
      </c>
    </row>
    <row r="368" spans="1:2" x14ac:dyDescent="0.35">
      <c r="A368">
        <v>4570.8818959999999</v>
      </c>
      <c r="B368">
        <v>10.5557</v>
      </c>
    </row>
    <row r="369" spans="1:2" x14ac:dyDescent="0.35">
      <c r="A369">
        <v>4677.3514130000003</v>
      </c>
      <c r="B369">
        <v>10.5503</v>
      </c>
    </row>
    <row r="370" spans="1:2" x14ac:dyDescent="0.35">
      <c r="A370">
        <v>4786.3009229999998</v>
      </c>
      <c r="B370">
        <v>10.544700000000001</v>
      </c>
    </row>
    <row r="371" spans="1:2" x14ac:dyDescent="0.35">
      <c r="A371">
        <v>4897.7881939999997</v>
      </c>
      <c r="B371">
        <v>10.5388</v>
      </c>
    </row>
    <row r="372" spans="1:2" x14ac:dyDescent="0.35">
      <c r="A372">
        <v>5011.8723360000004</v>
      </c>
      <c r="B372">
        <v>10.5326</v>
      </c>
    </row>
    <row r="373" spans="1:2" x14ac:dyDescent="0.35">
      <c r="A373">
        <v>5128.61384</v>
      </c>
      <c r="B373">
        <v>10.5261</v>
      </c>
    </row>
    <row r="374" spans="1:2" x14ac:dyDescent="0.35">
      <c r="A374">
        <v>5248.0746019999997</v>
      </c>
      <c r="B374">
        <v>10.519399999999999</v>
      </c>
    </row>
    <row r="375" spans="1:2" x14ac:dyDescent="0.35">
      <c r="A375">
        <v>5370.3179639999998</v>
      </c>
      <c r="B375">
        <v>10.5123</v>
      </c>
    </row>
    <row r="376" spans="1:2" x14ac:dyDescent="0.35">
      <c r="A376">
        <v>5495.4087390000004</v>
      </c>
      <c r="B376">
        <v>10.504899999999999</v>
      </c>
    </row>
    <row r="377" spans="1:2" x14ac:dyDescent="0.35">
      <c r="A377">
        <v>5623.4132520000003</v>
      </c>
      <c r="B377">
        <v>10.497199999999999</v>
      </c>
    </row>
    <row r="378" spans="1:2" x14ac:dyDescent="0.35">
      <c r="A378">
        <v>5754.3993730000002</v>
      </c>
      <c r="B378">
        <v>10.4892</v>
      </c>
    </row>
    <row r="379" spans="1:2" x14ac:dyDescent="0.35">
      <c r="A379">
        <v>5888.4365539999999</v>
      </c>
      <c r="B379">
        <v>10.480700000000001</v>
      </c>
    </row>
    <row r="380" spans="1:2" x14ac:dyDescent="0.35">
      <c r="A380">
        <v>6025.5958609999998</v>
      </c>
      <c r="B380">
        <v>10.4719</v>
      </c>
    </row>
    <row r="381" spans="1:2" x14ac:dyDescent="0.35">
      <c r="A381">
        <v>6165.9500189999999</v>
      </c>
      <c r="B381">
        <v>10.4627</v>
      </c>
    </row>
    <row r="382" spans="1:2" x14ac:dyDescent="0.35">
      <c r="A382">
        <v>6309.573445</v>
      </c>
      <c r="B382">
        <v>10.453099999999999</v>
      </c>
    </row>
    <row r="383" spans="1:2" x14ac:dyDescent="0.35">
      <c r="A383">
        <v>6456.5422900000003</v>
      </c>
      <c r="B383">
        <v>10.443099999999999</v>
      </c>
    </row>
    <row r="384" spans="1:2" x14ac:dyDescent="0.35">
      <c r="A384">
        <v>6606.9344799999999</v>
      </c>
      <c r="B384">
        <v>10.432600000000001</v>
      </c>
    </row>
    <row r="385" spans="1:2" x14ac:dyDescent="0.35">
      <c r="A385">
        <v>6760.8297540000003</v>
      </c>
      <c r="B385">
        <v>10.4216</v>
      </c>
    </row>
    <row r="386" spans="1:2" x14ac:dyDescent="0.35">
      <c r="A386">
        <v>6918.3097090000001</v>
      </c>
      <c r="B386">
        <v>10.4102</v>
      </c>
    </row>
    <row r="387" spans="1:2" x14ac:dyDescent="0.35">
      <c r="A387">
        <v>7079.4578439999996</v>
      </c>
      <c r="B387">
        <v>10.398199999999999</v>
      </c>
    </row>
    <row r="388" spans="1:2" x14ac:dyDescent="0.35">
      <c r="A388">
        <v>7244.3596010000001</v>
      </c>
      <c r="B388">
        <v>10.3857</v>
      </c>
    </row>
    <row r="389" spans="1:2" x14ac:dyDescent="0.35">
      <c r="A389">
        <v>7413.1024129999996</v>
      </c>
      <c r="B389">
        <v>10.3727</v>
      </c>
    </row>
    <row r="390" spans="1:2" x14ac:dyDescent="0.35">
      <c r="A390">
        <v>7585.7757499999998</v>
      </c>
      <c r="B390">
        <v>10.3591</v>
      </c>
    </row>
    <row r="391" spans="1:2" x14ac:dyDescent="0.35">
      <c r="A391">
        <v>7762.4711660000003</v>
      </c>
      <c r="B391">
        <v>10.344900000000001</v>
      </c>
    </row>
    <row r="392" spans="1:2" x14ac:dyDescent="0.35">
      <c r="A392">
        <v>7943.2823470000003</v>
      </c>
      <c r="B392">
        <v>10.3301</v>
      </c>
    </row>
    <row r="393" spans="1:2" x14ac:dyDescent="0.35">
      <c r="A393">
        <v>8128.3051619999997</v>
      </c>
      <c r="B393">
        <v>10.3146</v>
      </c>
    </row>
    <row r="394" spans="1:2" x14ac:dyDescent="0.35">
      <c r="A394">
        <v>8317.6377109999994</v>
      </c>
      <c r="B394">
        <v>10.298500000000001</v>
      </c>
    </row>
    <row r="395" spans="1:2" x14ac:dyDescent="0.35">
      <c r="A395">
        <v>8511.3803819999994</v>
      </c>
      <c r="B395">
        <v>10.281599999999999</v>
      </c>
    </row>
    <row r="396" spans="1:2" x14ac:dyDescent="0.35">
      <c r="A396">
        <v>8709.6358999999993</v>
      </c>
      <c r="B396">
        <v>10.264099999999999</v>
      </c>
    </row>
    <row r="397" spans="1:2" x14ac:dyDescent="0.35">
      <c r="A397">
        <v>8912.5093809999998</v>
      </c>
      <c r="B397">
        <v>10.245799999999999</v>
      </c>
    </row>
    <row r="398" spans="1:2" x14ac:dyDescent="0.35">
      <c r="A398">
        <v>9120.1083940000008</v>
      </c>
      <c r="B398">
        <v>10.226699999999999</v>
      </c>
    </row>
    <row r="399" spans="1:2" x14ac:dyDescent="0.35">
      <c r="A399">
        <v>9332.5430080000006</v>
      </c>
      <c r="B399">
        <v>10.206799999999999</v>
      </c>
    </row>
    <row r="400" spans="1:2" x14ac:dyDescent="0.35">
      <c r="A400">
        <v>9549.9258599999994</v>
      </c>
      <c r="B400">
        <v>10.186</v>
      </c>
    </row>
    <row r="401" spans="1:2" x14ac:dyDescent="0.35">
      <c r="A401">
        <v>9772.3722099999995</v>
      </c>
      <c r="B401">
        <v>10.164400000000001</v>
      </c>
    </row>
    <row r="402" spans="1:2" x14ac:dyDescent="0.35">
      <c r="A402">
        <v>10000</v>
      </c>
      <c r="B402">
        <v>10.1419</v>
      </c>
    </row>
    <row r="403" spans="1:2" x14ac:dyDescent="0.35">
      <c r="A403">
        <v>10232.92992</v>
      </c>
      <c r="B403">
        <v>10.118399999999999</v>
      </c>
    </row>
    <row r="404" spans="1:2" x14ac:dyDescent="0.35">
      <c r="A404">
        <v>10471.28548</v>
      </c>
      <c r="B404">
        <v>10.093999999999999</v>
      </c>
    </row>
    <row r="405" spans="1:2" x14ac:dyDescent="0.35">
      <c r="A405">
        <v>10715.19305</v>
      </c>
      <c r="B405">
        <v>10.0686</v>
      </c>
    </row>
    <row r="406" spans="1:2" x14ac:dyDescent="0.35">
      <c r="A406">
        <v>10964.78196</v>
      </c>
      <c r="B406">
        <v>10.0421</v>
      </c>
    </row>
    <row r="407" spans="1:2" x14ac:dyDescent="0.35">
      <c r="A407">
        <v>11220.18454</v>
      </c>
      <c r="B407">
        <v>10.0146</v>
      </c>
    </row>
    <row r="408" spans="1:2" x14ac:dyDescent="0.35">
      <c r="A408">
        <v>11481.53621</v>
      </c>
      <c r="B408">
        <v>9.9859299999999998</v>
      </c>
    </row>
    <row r="409" spans="1:2" x14ac:dyDescent="0.35">
      <c r="A409">
        <v>11748.975549999999</v>
      </c>
      <c r="B409">
        <v>9.9561299999999999</v>
      </c>
    </row>
    <row r="410" spans="1:2" x14ac:dyDescent="0.35">
      <c r="A410">
        <v>12022.64435</v>
      </c>
      <c r="B410">
        <v>9.9251400000000007</v>
      </c>
    </row>
    <row r="411" spans="1:2" x14ac:dyDescent="0.35">
      <c r="A411">
        <v>12302.68771</v>
      </c>
      <c r="B411">
        <v>9.8929200000000002</v>
      </c>
    </row>
    <row r="412" spans="1:2" x14ac:dyDescent="0.35">
      <c r="A412">
        <v>12589.25412</v>
      </c>
      <c r="B412">
        <v>9.8594399999999993</v>
      </c>
    </row>
    <row r="413" spans="1:2" x14ac:dyDescent="0.35">
      <c r="A413">
        <v>12882.49552</v>
      </c>
      <c r="B413">
        <v>9.8246599999999997</v>
      </c>
    </row>
    <row r="414" spans="1:2" x14ac:dyDescent="0.35">
      <c r="A414">
        <v>13182.56739</v>
      </c>
      <c r="B414">
        <v>9.7885299999999997</v>
      </c>
    </row>
    <row r="415" spans="1:2" x14ac:dyDescent="0.35">
      <c r="A415">
        <v>13489.62883</v>
      </c>
      <c r="B415">
        <v>9.7510200000000005</v>
      </c>
    </row>
    <row r="416" spans="1:2" x14ac:dyDescent="0.35">
      <c r="A416">
        <v>13803.842650000001</v>
      </c>
      <c r="B416">
        <v>9.7120899999999999</v>
      </c>
    </row>
    <row r="417" spans="1:2" x14ac:dyDescent="0.35">
      <c r="A417">
        <v>14125.37545</v>
      </c>
      <c r="B417">
        <v>9.6716899999999999</v>
      </c>
    </row>
    <row r="418" spans="1:2" x14ac:dyDescent="0.35">
      <c r="A418">
        <v>14454.397709999999</v>
      </c>
      <c r="B418">
        <v>9.6297899999999998</v>
      </c>
    </row>
    <row r="419" spans="1:2" x14ac:dyDescent="0.35">
      <c r="A419">
        <v>14791.08388</v>
      </c>
      <c r="B419">
        <v>9.5863399999999999</v>
      </c>
    </row>
    <row r="420" spans="1:2" x14ac:dyDescent="0.35">
      <c r="A420">
        <v>15135.61248</v>
      </c>
      <c r="B420">
        <v>9.5413099999999993</v>
      </c>
    </row>
    <row r="421" spans="1:2" x14ac:dyDescent="0.35">
      <c r="A421">
        <v>15488.16619</v>
      </c>
      <c r="B421">
        <v>9.4946400000000004</v>
      </c>
    </row>
    <row r="422" spans="1:2" x14ac:dyDescent="0.35">
      <c r="A422">
        <v>15848.931920000001</v>
      </c>
      <c r="B422">
        <v>9.4463200000000001</v>
      </c>
    </row>
    <row r="423" spans="1:2" x14ac:dyDescent="0.35">
      <c r="A423">
        <v>16218.10097</v>
      </c>
      <c r="B423">
        <v>9.3962800000000009</v>
      </c>
    </row>
    <row r="424" spans="1:2" x14ac:dyDescent="0.35">
      <c r="A424">
        <v>16595.869070000001</v>
      </c>
      <c r="B424">
        <v>9.3444900000000004</v>
      </c>
    </row>
    <row r="425" spans="1:2" x14ac:dyDescent="0.35">
      <c r="A425">
        <v>16982.436519999999</v>
      </c>
      <c r="B425">
        <v>9.2909199999999998</v>
      </c>
    </row>
    <row r="426" spans="1:2" x14ac:dyDescent="0.35">
      <c r="A426">
        <v>17378.008290000002</v>
      </c>
      <c r="B426">
        <v>9.2355300000000007</v>
      </c>
    </row>
    <row r="427" spans="1:2" x14ac:dyDescent="0.35">
      <c r="A427">
        <v>17782.794099999999</v>
      </c>
      <c r="B427">
        <v>9.1782699999999995</v>
      </c>
    </row>
    <row r="428" spans="1:2" x14ac:dyDescent="0.35">
      <c r="A428">
        <v>18197.008590000001</v>
      </c>
      <c r="B428">
        <v>9.1191099999999992</v>
      </c>
    </row>
    <row r="429" spans="1:2" x14ac:dyDescent="0.35">
      <c r="A429">
        <v>18620.871370000001</v>
      </c>
      <c r="B429">
        <v>9.0580099999999995</v>
      </c>
    </row>
    <row r="430" spans="1:2" x14ac:dyDescent="0.35">
      <c r="A430">
        <v>19054.607179999999</v>
      </c>
      <c r="B430">
        <v>8.9949399999999997</v>
      </c>
    </row>
    <row r="431" spans="1:2" x14ac:dyDescent="0.35">
      <c r="A431">
        <v>19498.446</v>
      </c>
      <c r="B431">
        <v>8.9298699999999993</v>
      </c>
    </row>
    <row r="432" spans="1:2" x14ac:dyDescent="0.35">
      <c r="A432">
        <v>19952.623149999999</v>
      </c>
      <c r="B432">
        <v>8.8627599999999997</v>
      </c>
    </row>
    <row r="433" spans="1:2" x14ac:dyDescent="0.35">
      <c r="A433">
        <v>20417.37945</v>
      </c>
      <c r="B433">
        <v>8.7935800000000004</v>
      </c>
    </row>
    <row r="434" spans="1:2" x14ac:dyDescent="0.35">
      <c r="A434">
        <v>20892.961309999999</v>
      </c>
      <c r="B434">
        <v>8.7223100000000002</v>
      </c>
    </row>
    <row r="435" spans="1:2" x14ac:dyDescent="0.35">
      <c r="A435">
        <v>21379.620900000002</v>
      </c>
      <c r="B435">
        <v>8.6488999999999994</v>
      </c>
    </row>
    <row r="436" spans="1:2" x14ac:dyDescent="0.35">
      <c r="A436">
        <v>21877.616239999999</v>
      </c>
      <c r="B436">
        <v>8.5733499999999996</v>
      </c>
    </row>
    <row r="437" spans="1:2" x14ac:dyDescent="0.35">
      <c r="A437">
        <v>22387.21139</v>
      </c>
      <c r="B437">
        <v>8.4956200000000006</v>
      </c>
    </row>
    <row r="438" spans="1:2" x14ac:dyDescent="0.35">
      <c r="A438">
        <v>22908.676530000001</v>
      </c>
      <c r="B438">
        <v>8.4156899999999997</v>
      </c>
    </row>
    <row r="439" spans="1:2" x14ac:dyDescent="0.35">
      <c r="A439">
        <v>23442.28815</v>
      </c>
      <c r="B439">
        <v>8.3335399999999993</v>
      </c>
    </row>
    <row r="440" spans="1:2" x14ac:dyDescent="0.35">
      <c r="A440">
        <v>23988.32919</v>
      </c>
      <c r="B440">
        <v>8.2491500000000002</v>
      </c>
    </row>
    <row r="441" spans="1:2" x14ac:dyDescent="0.35">
      <c r="A441">
        <v>24547.08916</v>
      </c>
      <c r="B441">
        <v>8.1625099999999993</v>
      </c>
    </row>
    <row r="442" spans="1:2" x14ac:dyDescent="0.35">
      <c r="A442">
        <v>25118.864320000001</v>
      </c>
      <c r="B442">
        <v>8.0736000000000008</v>
      </c>
    </row>
    <row r="443" spans="1:2" x14ac:dyDescent="0.35">
      <c r="A443">
        <v>25703.957829999999</v>
      </c>
      <c r="B443">
        <v>7.9824099999999998</v>
      </c>
    </row>
    <row r="444" spans="1:2" x14ac:dyDescent="0.35">
      <c r="A444">
        <v>26302.679919999999</v>
      </c>
      <c r="B444">
        <v>7.8889300000000002</v>
      </c>
    </row>
    <row r="445" spans="1:2" x14ac:dyDescent="0.35">
      <c r="A445">
        <v>26915.348040000001</v>
      </c>
      <c r="B445">
        <v>7.7931600000000003</v>
      </c>
    </row>
    <row r="446" spans="1:2" x14ac:dyDescent="0.35">
      <c r="A446">
        <v>27542.28703</v>
      </c>
      <c r="B446">
        <v>7.6950799999999999</v>
      </c>
    </row>
    <row r="447" spans="1:2" x14ac:dyDescent="0.35">
      <c r="A447">
        <v>28183.829310000001</v>
      </c>
      <c r="B447">
        <v>7.5947100000000001</v>
      </c>
    </row>
    <row r="448" spans="1:2" x14ac:dyDescent="0.35">
      <c r="A448">
        <v>28840.315030000002</v>
      </c>
      <c r="B448">
        <v>7.4920299999999997</v>
      </c>
    </row>
    <row r="449" spans="1:2" x14ac:dyDescent="0.35">
      <c r="A449">
        <v>29512.092270000001</v>
      </c>
      <c r="B449">
        <v>7.38706</v>
      </c>
    </row>
    <row r="450" spans="1:2" x14ac:dyDescent="0.35">
      <c r="A450">
        <v>30199.517199999998</v>
      </c>
      <c r="B450">
        <v>7.2797900000000002</v>
      </c>
    </row>
    <row r="451" spans="1:2" x14ac:dyDescent="0.35">
      <c r="A451">
        <v>30902.95433</v>
      </c>
      <c r="B451">
        <v>7.1702300000000001</v>
      </c>
    </row>
    <row r="452" spans="1:2" x14ac:dyDescent="0.35">
      <c r="A452">
        <v>31622.776600000001</v>
      </c>
      <c r="B452">
        <v>7.0584100000000003</v>
      </c>
    </row>
    <row r="453" spans="1:2" x14ac:dyDescent="0.35">
      <c r="A453">
        <v>32359.365689999999</v>
      </c>
      <c r="B453">
        <v>6.9443099999999998</v>
      </c>
    </row>
    <row r="454" spans="1:2" x14ac:dyDescent="0.35">
      <c r="A454">
        <v>33113.112150000001</v>
      </c>
      <c r="B454">
        <v>6.8279699999999997</v>
      </c>
    </row>
    <row r="455" spans="1:2" x14ac:dyDescent="0.35">
      <c r="A455">
        <v>33884.415609999996</v>
      </c>
      <c r="B455">
        <v>6.7093999999999996</v>
      </c>
    </row>
    <row r="456" spans="1:2" x14ac:dyDescent="0.35">
      <c r="A456">
        <v>34673.68505</v>
      </c>
      <c r="B456">
        <v>6.5886100000000001</v>
      </c>
    </row>
    <row r="457" spans="1:2" x14ac:dyDescent="0.35">
      <c r="A457">
        <v>35481.338920000002</v>
      </c>
      <c r="B457">
        <v>6.46563</v>
      </c>
    </row>
    <row r="458" spans="1:2" x14ac:dyDescent="0.35">
      <c r="A458">
        <v>36307.805480000003</v>
      </c>
      <c r="B458">
        <v>6.34049</v>
      </c>
    </row>
    <row r="459" spans="1:2" x14ac:dyDescent="0.35">
      <c r="A459">
        <v>37153.52291</v>
      </c>
      <c r="B459">
        <v>6.2131999999999996</v>
      </c>
    </row>
    <row r="460" spans="1:2" x14ac:dyDescent="0.35">
      <c r="A460">
        <v>38018.939630000001</v>
      </c>
      <c r="B460">
        <v>6.0837899999999996</v>
      </c>
    </row>
    <row r="461" spans="1:2" x14ac:dyDescent="0.35">
      <c r="A461">
        <v>38904.514499999997</v>
      </c>
      <c r="B461">
        <v>5.9523000000000001</v>
      </c>
    </row>
    <row r="462" spans="1:2" x14ac:dyDescent="0.35">
      <c r="A462">
        <v>39810.717060000003</v>
      </c>
      <c r="B462">
        <v>5.8187499999999996</v>
      </c>
    </row>
    <row r="463" spans="1:2" x14ac:dyDescent="0.35">
      <c r="A463">
        <v>40738.027779999997</v>
      </c>
      <c r="B463">
        <v>5.6831699999999996</v>
      </c>
    </row>
    <row r="464" spans="1:2" x14ac:dyDescent="0.35">
      <c r="A464">
        <v>41686.938349999997</v>
      </c>
      <c r="B464">
        <v>5.5455899999999998</v>
      </c>
    </row>
    <row r="465" spans="1:2" x14ac:dyDescent="0.35">
      <c r="A465">
        <v>42657.951880000001</v>
      </c>
      <c r="B465">
        <v>5.4060600000000001</v>
      </c>
    </row>
    <row r="466" spans="1:2" x14ac:dyDescent="0.35">
      <c r="A466">
        <v>43651.58322</v>
      </c>
      <c r="B466">
        <v>5.2646100000000002</v>
      </c>
    </row>
    <row r="467" spans="1:2" x14ac:dyDescent="0.35">
      <c r="A467">
        <v>44668.359219999998</v>
      </c>
      <c r="B467">
        <v>5.1212600000000004</v>
      </c>
    </row>
    <row r="468" spans="1:2" x14ac:dyDescent="0.35">
      <c r="A468">
        <v>45708.818959999997</v>
      </c>
      <c r="B468">
        <v>4.97607</v>
      </c>
    </row>
    <row r="469" spans="1:2" x14ac:dyDescent="0.35">
      <c r="A469">
        <v>46773.514130000003</v>
      </c>
      <c r="B469">
        <v>4.8290699999999998</v>
      </c>
    </row>
    <row r="470" spans="1:2" x14ac:dyDescent="0.35">
      <c r="A470">
        <v>47863.009230000003</v>
      </c>
      <c r="B470">
        <v>4.6802900000000003</v>
      </c>
    </row>
    <row r="471" spans="1:2" x14ac:dyDescent="0.35">
      <c r="A471">
        <v>48977.881939999999</v>
      </c>
      <c r="B471">
        <v>4.5297799999999997</v>
      </c>
    </row>
    <row r="472" spans="1:2" x14ac:dyDescent="0.35">
      <c r="A472">
        <v>50118.723360000004</v>
      </c>
      <c r="B472">
        <v>4.3775700000000004</v>
      </c>
    </row>
    <row r="473" spans="1:2" x14ac:dyDescent="0.35">
      <c r="A473">
        <v>51286.138400000003</v>
      </c>
      <c r="B473">
        <v>4.2237200000000001</v>
      </c>
    </row>
    <row r="474" spans="1:2" x14ac:dyDescent="0.35">
      <c r="A474">
        <v>52480.746019999999</v>
      </c>
      <c r="B474">
        <v>4.0682400000000003</v>
      </c>
    </row>
    <row r="475" spans="1:2" x14ac:dyDescent="0.35">
      <c r="A475">
        <v>53703.179640000002</v>
      </c>
      <c r="B475">
        <v>3.9112</v>
      </c>
    </row>
    <row r="476" spans="1:2" x14ac:dyDescent="0.35">
      <c r="A476">
        <v>54954.087390000001</v>
      </c>
      <c r="B476">
        <v>3.7526299999999999</v>
      </c>
    </row>
    <row r="477" spans="1:2" x14ac:dyDescent="0.35">
      <c r="A477">
        <v>56234.132519999999</v>
      </c>
      <c r="B477">
        <v>3.5925600000000002</v>
      </c>
    </row>
    <row r="478" spans="1:2" x14ac:dyDescent="0.35">
      <c r="A478">
        <v>57543.993730000002</v>
      </c>
      <c r="B478">
        <v>3.4310499999999999</v>
      </c>
    </row>
    <row r="479" spans="1:2" x14ac:dyDescent="0.35">
      <c r="A479">
        <v>58884.365539999999</v>
      </c>
      <c r="B479">
        <v>3.2681300000000002</v>
      </c>
    </row>
    <row r="480" spans="1:2" x14ac:dyDescent="0.35">
      <c r="A480">
        <v>60255.958610000001</v>
      </c>
      <c r="B480">
        <v>3.1038399999999999</v>
      </c>
    </row>
    <row r="481" spans="1:2" x14ac:dyDescent="0.35">
      <c r="A481">
        <v>61659.500189999999</v>
      </c>
      <c r="B481">
        <v>2.9382199999999998</v>
      </c>
    </row>
    <row r="482" spans="1:2" x14ac:dyDescent="0.35">
      <c r="A482">
        <v>63095.734450000004</v>
      </c>
      <c r="B482">
        <v>2.7713100000000002</v>
      </c>
    </row>
    <row r="483" spans="1:2" x14ac:dyDescent="0.35">
      <c r="A483">
        <v>64565.422899999998</v>
      </c>
      <c r="B483">
        <v>2.6031499999999999</v>
      </c>
    </row>
    <row r="484" spans="1:2" x14ac:dyDescent="0.35">
      <c r="A484">
        <v>66069.344800000006</v>
      </c>
      <c r="B484">
        <v>2.4337800000000001</v>
      </c>
    </row>
    <row r="485" spans="1:2" x14ac:dyDescent="0.35">
      <c r="A485">
        <v>67608.29754</v>
      </c>
      <c r="B485">
        <v>2.2632400000000001</v>
      </c>
    </row>
    <row r="486" spans="1:2" x14ac:dyDescent="0.35">
      <c r="A486">
        <v>69183.097089999996</v>
      </c>
      <c r="B486">
        <v>2.0915599999999999</v>
      </c>
    </row>
    <row r="487" spans="1:2" x14ac:dyDescent="0.35">
      <c r="A487">
        <v>70794.578439999997</v>
      </c>
      <c r="B487">
        <v>1.9187799999999999</v>
      </c>
    </row>
    <row r="488" spans="1:2" x14ac:dyDescent="0.35">
      <c r="A488">
        <v>72443.596009999994</v>
      </c>
      <c r="B488">
        <v>1.74495</v>
      </c>
    </row>
    <row r="489" spans="1:2" x14ac:dyDescent="0.35">
      <c r="A489">
        <v>74131.024130000005</v>
      </c>
      <c r="B489">
        <v>1.57009</v>
      </c>
    </row>
    <row r="490" spans="1:2" x14ac:dyDescent="0.35">
      <c r="A490">
        <v>75857.757500000007</v>
      </c>
      <c r="B490">
        <v>1.3942300000000001</v>
      </c>
    </row>
    <row r="491" spans="1:2" x14ac:dyDescent="0.35">
      <c r="A491">
        <v>77624.711660000001</v>
      </c>
      <c r="B491">
        <v>1.2174199999999999</v>
      </c>
    </row>
    <row r="492" spans="1:2" x14ac:dyDescent="0.35">
      <c r="A492">
        <v>79432.823470000003</v>
      </c>
      <c r="B492">
        <v>1.03969</v>
      </c>
    </row>
    <row r="493" spans="1:2" x14ac:dyDescent="0.35">
      <c r="A493">
        <v>81283.051619999998</v>
      </c>
      <c r="B493">
        <v>0.86106199999999999</v>
      </c>
    </row>
    <row r="494" spans="1:2" x14ac:dyDescent="0.35">
      <c r="A494">
        <v>83176.377110000001</v>
      </c>
      <c r="B494">
        <v>0.68157800000000002</v>
      </c>
    </row>
    <row r="495" spans="1:2" x14ac:dyDescent="0.35">
      <c r="A495">
        <v>85113.803820000001</v>
      </c>
      <c r="B495">
        <v>0.50126700000000002</v>
      </c>
    </row>
    <row r="496" spans="1:2" x14ac:dyDescent="0.35">
      <c r="A496">
        <v>87096.358999999997</v>
      </c>
      <c r="B496">
        <v>0.320158</v>
      </c>
    </row>
    <row r="497" spans="1:2" x14ac:dyDescent="0.35">
      <c r="A497">
        <v>89125.093810000006</v>
      </c>
      <c r="B497">
        <v>0.13828099999999999</v>
      </c>
    </row>
    <row r="498" spans="1:2" x14ac:dyDescent="0.35">
      <c r="A498">
        <v>91201.083939999997</v>
      </c>
      <c r="B498">
        <v>-4.4334699999999998E-2</v>
      </c>
    </row>
    <row r="499" spans="1:2" x14ac:dyDescent="0.35">
      <c r="A499">
        <v>93325.430080000006</v>
      </c>
      <c r="B499">
        <v>-0.227662</v>
      </c>
    </row>
    <row r="500" spans="1:2" x14ac:dyDescent="0.35">
      <c r="A500">
        <v>95499.258600000001</v>
      </c>
      <c r="B500">
        <v>-0.41167300000000001</v>
      </c>
    </row>
    <row r="501" spans="1:2" x14ac:dyDescent="0.35">
      <c r="A501">
        <v>97723.722099999999</v>
      </c>
      <c r="B501">
        <v>-0.59634299999999996</v>
      </c>
    </row>
    <row r="502" spans="1:2" x14ac:dyDescent="0.35">
      <c r="A502">
        <v>100000</v>
      </c>
      <c r="B502">
        <v>-0.78164500000000003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CA98-71B6-42CD-8068-BF2657001459}">
  <dimension ref="A1:C502"/>
  <sheetViews>
    <sheetView workbookViewId="0"/>
  </sheetViews>
  <sheetFormatPr defaultRowHeight="14.5" x14ac:dyDescent="0.35"/>
  <cols>
    <col min="1" max="1" width="13.1796875" bestFit="1" customWidth="1"/>
    <col min="2" max="2" width="23.1796875" bestFit="1" customWidth="1"/>
    <col min="3" max="3" width="25.1796875" bestFit="1" customWidth="1"/>
  </cols>
  <sheetData>
    <row r="1" spans="1:3" x14ac:dyDescent="0.35">
      <c r="A1" t="s">
        <v>84</v>
      </c>
      <c r="B1" t="s">
        <v>167</v>
      </c>
      <c r="C1" t="s">
        <v>168</v>
      </c>
    </row>
    <row r="2" spans="1:3" x14ac:dyDescent="0.35">
      <c r="A2">
        <v>1</v>
      </c>
      <c r="B2">
        <v>-5.8582400000000003</v>
      </c>
      <c r="C2">
        <v>-24.825399999999998</v>
      </c>
    </row>
    <row r="3" spans="1:3" x14ac:dyDescent="0.35">
      <c r="A3">
        <v>1.023292992</v>
      </c>
      <c r="B3">
        <v>-5.6627900000000002</v>
      </c>
      <c r="C3">
        <v>-24.432500000000001</v>
      </c>
    </row>
    <row r="4" spans="1:3" x14ac:dyDescent="0.35">
      <c r="A4">
        <v>1.0471285480000001</v>
      </c>
      <c r="B4">
        <v>-5.4675500000000001</v>
      </c>
      <c r="C4">
        <v>-24.04</v>
      </c>
    </row>
    <row r="5" spans="1:3" x14ac:dyDescent="0.35">
      <c r="A5">
        <v>1.071519305</v>
      </c>
      <c r="B5">
        <v>-5.2725299999999997</v>
      </c>
      <c r="C5">
        <v>-23.6478</v>
      </c>
    </row>
    <row r="6" spans="1:3" x14ac:dyDescent="0.35">
      <c r="A6">
        <v>1.0964781960000001</v>
      </c>
      <c r="B6">
        <v>-5.0777400000000004</v>
      </c>
      <c r="C6">
        <v>-23.256</v>
      </c>
    </row>
    <row r="7" spans="1:3" x14ac:dyDescent="0.35">
      <c r="A7">
        <v>1.122018454</v>
      </c>
      <c r="B7">
        <v>-4.8831899999999999</v>
      </c>
      <c r="C7">
        <v>-22.8645</v>
      </c>
    </row>
    <row r="8" spans="1:3" x14ac:dyDescent="0.35">
      <c r="A8">
        <v>1.1481536210000001</v>
      </c>
      <c r="B8">
        <v>-4.6888899999999998</v>
      </c>
      <c r="C8">
        <v>-22.473500000000001</v>
      </c>
    </row>
    <row r="9" spans="1:3" x14ac:dyDescent="0.35">
      <c r="A9">
        <v>1.174897555</v>
      </c>
      <c r="B9">
        <v>-4.4948499999999996</v>
      </c>
      <c r="C9">
        <v>-22.082899999999999</v>
      </c>
    </row>
    <row r="10" spans="1:3" x14ac:dyDescent="0.35">
      <c r="A10">
        <v>1.202264435</v>
      </c>
      <c r="B10">
        <v>-4.3010700000000002</v>
      </c>
      <c r="C10">
        <v>-21.692699999999999</v>
      </c>
    </row>
    <row r="11" spans="1:3" x14ac:dyDescent="0.35">
      <c r="A11">
        <v>1.230268771</v>
      </c>
      <c r="B11">
        <v>-4.1075900000000001</v>
      </c>
      <c r="C11">
        <v>-21.302900000000001</v>
      </c>
    </row>
    <row r="12" spans="1:3" x14ac:dyDescent="0.35">
      <c r="A12">
        <v>1.258925412</v>
      </c>
      <c r="B12">
        <v>-3.9144000000000001</v>
      </c>
      <c r="C12">
        <v>-20.913599999999999</v>
      </c>
    </row>
    <row r="13" spans="1:3" x14ac:dyDescent="0.35">
      <c r="A13">
        <v>1.2882495519999999</v>
      </c>
      <c r="B13">
        <v>-3.7215199999999999</v>
      </c>
      <c r="C13">
        <v>-20.524799999999999</v>
      </c>
    </row>
    <row r="14" spans="1:3" x14ac:dyDescent="0.35">
      <c r="A14">
        <v>1.318256739</v>
      </c>
      <c r="B14">
        <v>-3.5289600000000001</v>
      </c>
      <c r="C14">
        <v>-20.136500000000002</v>
      </c>
    </row>
    <row r="15" spans="1:3" x14ac:dyDescent="0.35">
      <c r="A15">
        <v>1.348962883</v>
      </c>
      <c r="B15">
        <v>-3.3367399999999998</v>
      </c>
      <c r="C15">
        <v>-19.748799999999999</v>
      </c>
    </row>
    <row r="16" spans="1:3" x14ac:dyDescent="0.35">
      <c r="A16">
        <v>1.380384265</v>
      </c>
      <c r="B16">
        <v>-3.1448700000000001</v>
      </c>
      <c r="C16">
        <v>-19.361599999999999</v>
      </c>
    </row>
    <row r="17" spans="1:3" x14ac:dyDescent="0.35">
      <c r="A17">
        <v>1.4125375449999999</v>
      </c>
      <c r="B17">
        <v>-2.9533700000000001</v>
      </c>
      <c r="C17">
        <v>-18.975000000000001</v>
      </c>
    </row>
    <row r="18" spans="1:3" x14ac:dyDescent="0.35">
      <c r="A18">
        <v>1.445439771</v>
      </c>
      <c r="B18">
        <v>-2.7622499999999999</v>
      </c>
      <c r="C18">
        <v>-18.588999999999999</v>
      </c>
    </row>
    <row r="19" spans="1:3" x14ac:dyDescent="0.35">
      <c r="A19">
        <v>1.479108388</v>
      </c>
      <c r="B19">
        <v>-2.5715300000000001</v>
      </c>
      <c r="C19">
        <v>-18.203600000000002</v>
      </c>
    </row>
    <row r="20" spans="1:3" x14ac:dyDescent="0.35">
      <c r="A20">
        <v>1.513561248</v>
      </c>
      <c r="B20">
        <v>-2.3812199999999999</v>
      </c>
      <c r="C20">
        <v>-17.818899999999999</v>
      </c>
    </row>
    <row r="21" spans="1:3" x14ac:dyDescent="0.35">
      <c r="A21">
        <v>1.5488166189999999</v>
      </c>
      <c r="B21">
        <v>-2.1913499999999999</v>
      </c>
      <c r="C21">
        <v>-17.434899999999999</v>
      </c>
    </row>
    <row r="22" spans="1:3" x14ac:dyDescent="0.35">
      <c r="A22">
        <v>1.584893192</v>
      </c>
      <c r="B22">
        <v>-2.0019300000000002</v>
      </c>
      <c r="C22">
        <v>-17.051600000000001</v>
      </c>
    </row>
    <row r="23" spans="1:3" x14ac:dyDescent="0.35">
      <c r="A23">
        <v>1.621810097</v>
      </c>
      <c r="B23">
        <v>-1.8129900000000001</v>
      </c>
      <c r="C23">
        <v>-16.669</v>
      </c>
    </row>
    <row r="24" spans="1:3" x14ac:dyDescent="0.35">
      <c r="A24">
        <v>1.659586907</v>
      </c>
      <c r="B24">
        <v>-1.62453</v>
      </c>
      <c r="C24">
        <v>-16.287199999999999</v>
      </c>
    </row>
    <row r="25" spans="1:3" x14ac:dyDescent="0.35">
      <c r="A25">
        <v>1.6982436519999999</v>
      </c>
      <c r="B25">
        <v>-1.43658</v>
      </c>
      <c r="C25">
        <v>-15.9063</v>
      </c>
    </row>
    <row r="26" spans="1:3" x14ac:dyDescent="0.35">
      <c r="A26">
        <v>1.737800829</v>
      </c>
      <c r="B26">
        <v>-1.2491699999999999</v>
      </c>
      <c r="C26">
        <v>-15.526199999999999</v>
      </c>
    </row>
    <row r="27" spans="1:3" x14ac:dyDescent="0.35">
      <c r="A27">
        <v>1.7782794099999999</v>
      </c>
      <c r="B27">
        <v>-1.0623100000000001</v>
      </c>
      <c r="C27">
        <v>-15.1469</v>
      </c>
    </row>
    <row r="28" spans="1:3" x14ac:dyDescent="0.35">
      <c r="A28">
        <v>1.8197008589999999</v>
      </c>
      <c r="B28">
        <v>-0.87602999999999998</v>
      </c>
      <c r="C28">
        <v>-14.768599999999999</v>
      </c>
    </row>
    <row r="29" spans="1:3" x14ac:dyDescent="0.35">
      <c r="A29">
        <v>1.8620871370000001</v>
      </c>
      <c r="B29">
        <v>-0.69034799999999996</v>
      </c>
      <c r="C29">
        <v>-14.391299999999999</v>
      </c>
    </row>
    <row r="30" spans="1:3" x14ac:dyDescent="0.35">
      <c r="A30">
        <v>1.9054607180000001</v>
      </c>
      <c r="B30">
        <v>-0.50529000000000002</v>
      </c>
      <c r="C30">
        <v>-14.015000000000001</v>
      </c>
    </row>
    <row r="31" spans="1:3" x14ac:dyDescent="0.35">
      <c r="A31">
        <v>1.9498446</v>
      </c>
      <c r="B31">
        <v>-0.32088100000000003</v>
      </c>
      <c r="C31">
        <v>-13.639699999999999</v>
      </c>
    </row>
    <row r="32" spans="1:3" x14ac:dyDescent="0.35">
      <c r="A32">
        <v>1.995262315</v>
      </c>
      <c r="B32">
        <v>-0.13714799999999999</v>
      </c>
      <c r="C32">
        <v>-13.265499999999999</v>
      </c>
    </row>
    <row r="33" spans="1:3" x14ac:dyDescent="0.35">
      <c r="A33">
        <v>2.0417379449999999</v>
      </c>
      <c r="B33">
        <v>4.58847E-2</v>
      </c>
      <c r="C33">
        <v>-12.8924</v>
      </c>
    </row>
    <row r="34" spans="1:3" x14ac:dyDescent="0.35">
      <c r="A34">
        <v>2.0892961309999998</v>
      </c>
      <c r="B34">
        <v>0.228188</v>
      </c>
      <c r="C34">
        <v>-12.5205</v>
      </c>
    </row>
    <row r="35" spans="1:3" x14ac:dyDescent="0.35">
      <c r="A35">
        <v>2.1379620899999998</v>
      </c>
      <c r="B35">
        <v>0.40973500000000002</v>
      </c>
      <c r="C35">
        <v>-12.149800000000001</v>
      </c>
    </row>
    <row r="36" spans="1:3" x14ac:dyDescent="0.35">
      <c r="A36">
        <v>2.1877616240000002</v>
      </c>
      <c r="B36">
        <v>0.59049499999999999</v>
      </c>
      <c r="C36">
        <v>-11.7804</v>
      </c>
    </row>
    <row r="37" spans="1:3" x14ac:dyDescent="0.35">
      <c r="A37">
        <v>2.2387211389999999</v>
      </c>
      <c r="B37">
        <v>0.77044000000000001</v>
      </c>
      <c r="C37">
        <v>-11.4122</v>
      </c>
    </row>
    <row r="38" spans="1:3" x14ac:dyDescent="0.35">
      <c r="A38">
        <v>2.2908676529999998</v>
      </c>
      <c r="B38">
        <v>0.94953900000000002</v>
      </c>
      <c r="C38">
        <v>-11.045500000000001</v>
      </c>
    </row>
    <row r="39" spans="1:3" x14ac:dyDescent="0.35">
      <c r="A39">
        <v>2.3442288150000001</v>
      </c>
      <c r="B39">
        <v>1.1277600000000001</v>
      </c>
      <c r="C39">
        <v>-10.680199999999999</v>
      </c>
    </row>
    <row r="40" spans="1:3" x14ac:dyDescent="0.35">
      <c r="A40">
        <v>2.3988329190000002</v>
      </c>
      <c r="B40">
        <v>1.30507</v>
      </c>
      <c r="C40">
        <v>-10.3164</v>
      </c>
    </row>
    <row r="41" spans="1:3" x14ac:dyDescent="0.35">
      <c r="A41">
        <v>2.454708916</v>
      </c>
      <c r="B41">
        <v>1.4814400000000001</v>
      </c>
      <c r="C41">
        <v>-9.9540699999999998</v>
      </c>
    </row>
    <row r="42" spans="1:3" x14ac:dyDescent="0.35">
      <c r="A42">
        <v>2.5118864319999998</v>
      </c>
      <c r="B42">
        <v>1.65683</v>
      </c>
      <c r="C42">
        <v>-9.5933600000000006</v>
      </c>
    </row>
    <row r="43" spans="1:3" x14ac:dyDescent="0.35">
      <c r="A43">
        <v>2.5703957829999999</v>
      </c>
      <c r="B43">
        <v>1.83121</v>
      </c>
      <c r="C43">
        <v>-9.2342999999999993</v>
      </c>
    </row>
    <row r="44" spans="1:3" x14ac:dyDescent="0.35">
      <c r="A44">
        <v>2.6302679919999998</v>
      </c>
      <c r="B44">
        <v>2.0045500000000001</v>
      </c>
      <c r="C44">
        <v>-8.8769500000000008</v>
      </c>
    </row>
    <row r="45" spans="1:3" x14ac:dyDescent="0.35">
      <c r="A45">
        <v>2.6915348039999998</v>
      </c>
      <c r="B45">
        <v>2.1768000000000001</v>
      </c>
      <c r="C45">
        <v>-8.5213699999999992</v>
      </c>
    </row>
    <row r="46" spans="1:3" x14ac:dyDescent="0.35">
      <c r="A46">
        <v>2.7542287029999999</v>
      </c>
      <c r="B46">
        <v>2.3479299999999999</v>
      </c>
      <c r="C46">
        <v>-8.1676300000000008</v>
      </c>
    </row>
    <row r="47" spans="1:3" x14ac:dyDescent="0.35">
      <c r="A47">
        <v>2.8183829309999999</v>
      </c>
      <c r="B47">
        <v>2.5179100000000001</v>
      </c>
      <c r="C47">
        <v>-7.8157899999999998</v>
      </c>
    </row>
    <row r="48" spans="1:3" x14ac:dyDescent="0.35">
      <c r="A48">
        <v>2.8840315030000001</v>
      </c>
      <c r="B48">
        <v>2.68669</v>
      </c>
      <c r="C48">
        <v>-7.4659199999999997</v>
      </c>
    </row>
    <row r="49" spans="1:3" x14ac:dyDescent="0.35">
      <c r="A49">
        <v>2.9512092270000001</v>
      </c>
      <c r="B49">
        <v>2.85425</v>
      </c>
      <c r="C49">
        <v>-7.1180899999999996</v>
      </c>
    </row>
    <row r="50" spans="1:3" x14ac:dyDescent="0.35">
      <c r="A50">
        <v>3.0199517199999999</v>
      </c>
      <c r="B50">
        <v>3.0205299999999999</v>
      </c>
      <c r="C50">
        <v>-6.7723599999999999</v>
      </c>
    </row>
    <row r="51" spans="1:3" x14ac:dyDescent="0.35">
      <c r="A51">
        <v>3.0902954330000001</v>
      </c>
      <c r="B51">
        <v>3.1855000000000002</v>
      </c>
      <c r="C51">
        <v>-6.4287999999999998</v>
      </c>
    </row>
    <row r="52" spans="1:3" x14ac:dyDescent="0.35">
      <c r="A52">
        <v>3.16227766</v>
      </c>
      <c r="B52">
        <v>3.34911</v>
      </c>
      <c r="C52">
        <v>-6.0874899999999998</v>
      </c>
    </row>
    <row r="53" spans="1:3" x14ac:dyDescent="0.35">
      <c r="A53">
        <v>3.2359365690000002</v>
      </c>
      <c r="B53">
        <v>3.5113400000000001</v>
      </c>
      <c r="C53">
        <v>-5.7484999999999999</v>
      </c>
    </row>
    <row r="54" spans="1:3" x14ac:dyDescent="0.35">
      <c r="A54">
        <v>3.3113112149999999</v>
      </c>
      <c r="B54">
        <v>3.6721400000000002</v>
      </c>
      <c r="C54">
        <v>-5.4119099999999998</v>
      </c>
    </row>
    <row r="55" spans="1:3" x14ac:dyDescent="0.35">
      <c r="A55">
        <v>3.388441561</v>
      </c>
      <c r="B55">
        <v>3.8314699999999999</v>
      </c>
      <c r="C55">
        <v>-5.0777799999999997</v>
      </c>
    </row>
    <row r="56" spans="1:3" x14ac:dyDescent="0.35">
      <c r="A56">
        <v>3.467368505</v>
      </c>
      <c r="B56">
        <v>3.9892799999999999</v>
      </c>
      <c r="C56">
        <v>-4.7462</v>
      </c>
    </row>
    <row r="57" spans="1:3" x14ac:dyDescent="0.35">
      <c r="A57">
        <v>3.5481338920000001</v>
      </c>
      <c r="B57">
        <v>4.1455399999999996</v>
      </c>
      <c r="C57">
        <v>-4.4172399999999996</v>
      </c>
    </row>
    <row r="58" spans="1:3" x14ac:dyDescent="0.35">
      <c r="A58">
        <v>3.6307805480000002</v>
      </c>
      <c r="B58">
        <v>4.3002099999999999</v>
      </c>
      <c r="C58">
        <v>-4.0909800000000001</v>
      </c>
    </row>
    <row r="59" spans="1:3" x14ac:dyDescent="0.35">
      <c r="A59">
        <v>3.7153522909999999</v>
      </c>
      <c r="B59">
        <v>4.4532400000000001</v>
      </c>
      <c r="C59">
        <v>-3.76749</v>
      </c>
    </row>
    <row r="60" spans="1:3" x14ac:dyDescent="0.35">
      <c r="A60">
        <v>3.8018939629999999</v>
      </c>
      <c r="B60">
        <v>4.6045999999999996</v>
      </c>
      <c r="C60">
        <v>-3.44685</v>
      </c>
    </row>
    <row r="61" spans="1:3" x14ac:dyDescent="0.35">
      <c r="A61">
        <v>3.89045145</v>
      </c>
      <c r="B61">
        <v>4.7542499999999999</v>
      </c>
      <c r="C61">
        <v>-3.1291500000000001</v>
      </c>
    </row>
    <row r="62" spans="1:3" x14ac:dyDescent="0.35">
      <c r="A62">
        <v>3.9810717059999998</v>
      </c>
      <c r="B62">
        <v>4.9021299999999997</v>
      </c>
      <c r="C62">
        <v>-2.8144499999999999</v>
      </c>
    </row>
    <row r="63" spans="1:3" x14ac:dyDescent="0.35">
      <c r="A63">
        <v>4.0738027780000001</v>
      </c>
      <c r="B63">
        <v>5.0482300000000002</v>
      </c>
      <c r="C63">
        <v>-2.50285</v>
      </c>
    </row>
    <row r="64" spans="1:3" x14ac:dyDescent="0.35">
      <c r="A64">
        <v>4.168693835</v>
      </c>
      <c r="B64">
        <v>5.1924900000000003</v>
      </c>
      <c r="C64">
        <v>-2.19441</v>
      </c>
    </row>
    <row r="65" spans="1:3" x14ac:dyDescent="0.35">
      <c r="A65">
        <v>4.2657951880000002</v>
      </c>
      <c r="B65">
        <v>5.3348899999999997</v>
      </c>
      <c r="C65">
        <v>-1.8892100000000001</v>
      </c>
    </row>
    <row r="66" spans="1:3" x14ac:dyDescent="0.35">
      <c r="A66">
        <v>4.3651583220000001</v>
      </c>
      <c r="B66">
        <v>5.4753699999999998</v>
      </c>
      <c r="C66">
        <v>-1.58734</v>
      </c>
    </row>
    <row r="67" spans="1:3" x14ac:dyDescent="0.35">
      <c r="A67">
        <v>4.4668359219999996</v>
      </c>
      <c r="B67">
        <v>5.6139200000000002</v>
      </c>
      <c r="C67">
        <v>-1.2888599999999999</v>
      </c>
    </row>
    <row r="68" spans="1:3" x14ac:dyDescent="0.35">
      <c r="A68">
        <v>4.5708818960000004</v>
      </c>
      <c r="B68">
        <v>5.7504900000000001</v>
      </c>
      <c r="C68">
        <v>-0.99385299999999999</v>
      </c>
    </row>
    <row r="69" spans="1:3" x14ac:dyDescent="0.35">
      <c r="A69">
        <v>4.6773514130000002</v>
      </c>
      <c r="B69">
        <v>5.88504</v>
      </c>
      <c r="C69">
        <v>-0.70239600000000002</v>
      </c>
    </row>
    <row r="70" spans="1:3" x14ac:dyDescent="0.35">
      <c r="A70">
        <v>4.7863009229999998</v>
      </c>
      <c r="B70">
        <v>6.0175599999999996</v>
      </c>
      <c r="C70">
        <v>-0.41455900000000001</v>
      </c>
    </row>
    <row r="71" spans="1:3" x14ac:dyDescent="0.35">
      <c r="A71">
        <v>4.8977881940000003</v>
      </c>
      <c r="B71">
        <v>6.1479999999999997</v>
      </c>
      <c r="C71">
        <v>-0.130414</v>
      </c>
    </row>
    <row r="72" spans="1:3" x14ac:dyDescent="0.35">
      <c r="A72">
        <v>5.0118723359999997</v>
      </c>
      <c r="B72">
        <v>6.2763400000000003</v>
      </c>
      <c r="C72">
        <v>0.14996899999999999</v>
      </c>
    </row>
    <row r="73" spans="1:3" x14ac:dyDescent="0.35">
      <c r="A73">
        <v>5.1286138399999999</v>
      </c>
      <c r="B73">
        <v>6.4025400000000001</v>
      </c>
      <c r="C73">
        <v>0.42652400000000001</v>
      </c>
    </row>
    <row r="74" spans="1:3" x14ac:dyDescent="0.35">
      <c r="A74">
        <v>5.248074602</v>
      </c>
      <c r="B74">
        <v>6.5266000000000002</v>
      </c>
      <c r="C74">
        <v>0.699183</v>
      </c>
    </row>
    <row r="75" spans="1:3" x14ac:dyDescent="0.35">
      <c r="A75">
        <v>5.3703179639999998</v>
      </c>
      <c r="B75">
        <v>6.6484699999999997</v>
      </c>
      <c r="C75">
        <v>0.96788399999999997</v>
      </c>
    </row>
    <row r="76" spans="1:3" x14ac:dyDescent="0.35">
      <c r="A76">
        <v>5.4954087390000002</v>
      </c>
      <c r="B76">
        <v>6.7681300000000002</v>
      </c>
      <c r="C76">
        <v>1.2325699999999999</v>
      </c>
    </row>
    <row r="77" spans="1:3" x14ac:dyDescent="0.35">
      <c r="A77">
        <v>5.6234132519999998</v>
      </c>
      <c r="B77">
        <v>6.88558</v>
      </c>
      <c r="C77">
        <v>1.4931700000000001</v>
      </c>
    </row>
    <row r="78" spans="1:3" x14ac:dyDescent="0.35">
      <c r="A78">
        <v>5.754399373</v>
      </c>
      <c r="B78">
        <v>7.0007900000000003</v>
      </c>
      <c r="C78">
        <v>1.7496400000000001</v>
      </c>
    </row>
    <row r="79" spans="1:3" x14ac:dyDescent="0.35">
      <c r="A79">
        <v>5.8884365540000001</v>
      </c>
      <c r="B79">
        <v>7.11374</v>
      </c>
      <c r="C79">
        <v>2.0019300000000002</v>
      </c>
    </row>
    <row r="80" spans="1:3" x14ac:dyDescent="0.35">
      <c r="A80">
        <v>6.0255958610000002</v>
      </c>
      <c r="B80">
        <v>7.2244200000000003</v>
      </c>
      <c r="C80">
        <v>2.2499799999999999</v>
      </c>
    </row>
    <row r="81" spans="1:3" x14ac:dyDescent="0.35">
      <c r="A81">
        <v>6.1659500190000003</v>
      </c>
      <c r="B81">
        <v>7.3328199999999999</v>
      </c>
      <c r="C81">
        <v>2.49376</v>
      </c>
    </row>
    <row r="82" spans="1:3" x14ac:dyDescent="0.35">
      <c r="A82">
        <v>6.3095734449999998</v>
      </c>
      <c r="B82">
        <v>7.43893</v>
      </c>
      <c r="C82">
        <v>2.7332200000000002</v>
      </c>
    </row>
    <row r="83" spans="1:3" x14ac:dyDescent="0.35">
      <c r="A83">
        <v>6.4565422899999998</v>
      </c>
      <c r="B83">
        <v>7.5427400000000002</v>
      </c>
      <c r="C83">
        <v>2.9683199999999998</v>
      </c>
    </row>
    <row r="84" spans="1:3" x14ac:dyDescent="0.35">
      <c r="A84">
        <v>6.6069344799999996</v>
      </c>
      <c r="B84">
        <v>7.6442600000000001</v>
      </c>
      <c r="C84">
        <v>3.19902</v>
      </c>
    </row>
    <row r="85" spans="1:3" x14ac:dyDescent="0.35">
      <c r="A85">
        <v>6.7608297540000004</v>
      </c>
      <c r="B85">
        <v>7.7434700000000003</v>
      </c>
      <c r="C85">
        <v>3.4253100000000001</v>
      </c>
    </row>
    <row r="86" spans="1:3" x14ac:dyDescent="0.35">
      <c r="A86">
        <v>6.9183097089999999</v>
      </c>
      <c r="B86">
        <v>7.8403799999999997</v>
      </c>
      <c r="C86">
        <v>3.6471499999999999</v>
      </c>
    </row>
    <row r="87" spans="1:3" x14ac:dyDescent="0.35">
      <c r="A87">
        <v>7.0794578440000002</v>
      </c>
      <c r="B87">
        <v>7.9349999999999996</v>
      </c>
      <c r="C87">
        <v>3.8645100000000001</v>
      </c>
    </row>
    <row r="88" spans="1:3" x14ac:dyDescent="0.35">
      <c r="A88">
        <v>7.2443596010000002</v>
      </c>
      <c r="B88">
        <v>8.0273199999999996</v>
      </c>
      <c r="C88">
        <v>4.0773999999999999</v>
      </c>
    </row>
    <row r="89" spans="1:3" x14ac:dyDescent="0.35">
      <c r="A89">
        <v>7.4131024129999998</v>
      </c>
      <c r="B89">
        <v>8.1173599999999997</v>
      </c>
      <c r="C89">
        <v>4.2857799999999999</v>
      </c>
    </row>
    <row r="90" spans="1:3" x14ac:dyDescent="0.35">
      <c r="A90">
        <v>7.5857757499999998</v>
      </c>
      <c r="B90">
        <v>8.2051300000000005</v>
      </c>
      <c r="C90">
        <v>4.4896599999999998</v>
      </c>
    </row>
    <row r="91" spans="1:3" x14ac:dyDescent="0.35">
      <c r="A91">
        <v>7.7624711660000001</v>
      </c>
      <c r="B91">
        <v>8.2906300000000002</v>
      </c>
      <c r="C91">
        <v>4.6890200000000002</v>
      </c>
    </row>
    <row r="92" spans="1:3" x14ac:dyDescent="0.35">
      <c r="A92">
        <v>7.9432823470000002</v>
      </c>
      <c r="B92">
        <v>8.3739000000000008</v>
      </c>
      <c r="C92">
        <v>4.8838800000000004</v>
      </c>
    </row>
    <row r="93" spans="1:3" x14ac:dyDescent="0.35">
      <c r="A93">
        <v>8.1283051620000002</v>
      </c>
      <c r="B93">
        <v>8.4549299999999992</v>
      </c>
      <c r="C93">
        <v>5.07423</v>
      </c>
    </row>
    <row r="94" spans="1:3" x14ac:dyDescent="0.35">
      <c r="A94">
        <v>8.3176377109999997</v>
      </c>
      <c r="B94">
        <v>8.5337499999999995</v>
      </c>
      <c r="C94">
        <v>5.2600899999999999</v>
      </c>
    </row>
    <row r="95" spans="1:3" x14ac:dyDescent="0.35">
      <c r="A95">
        <v>8.5113803820000005</v>
      </c>
      <c r="B95">
        <v>8.6103900000000007</v>
      </c>
      <c r="C95">
        <v>5.4414600000000002</v>
      </c>
    </row>
    <row r="96" spans="1:3" x14ac:dyDescent="0.35">
      <c r="A96">
        <v>8.7096359000000003</v>
      </c>
      <c r="B96">
        <v>8.6848600000000005</v>
      </c>
      <c r="C96">
        <v>5.6183699999999996</v>
      </c>
    </row>
    <row r="97" spans="1:3" x14ac:dyDescent="0.35">
      <c r="A97">
        <v>8.9125093809999996</v>
      </c>
      <c r="B97">
        <v>8.7571999999999992</v>
      </c>
      <c r="C97">
        <v>5.7908400000000002</v>
      </c>
    </row>
    <row r="98" spans="1:3" x14ac:dyDescent="0.35">
      <c r="A98">
        <v>9.1201083940000007</v>
      </c>
      <c r="B98">
        <v>8.82742</v>
      </c>
      <c r="C98">
        <v>5.9588999999999999</v>
      </c>
    </row>
    <row r="99" spans="1:3" x14ac:dyDescent="0.35">
      <c r="A99">
        <v>9.332543008</v>
      </c>
      <c r="B99">
        <v>8.8955599999999997</v>
      </c>
      <c r="C99">
        <v>6.1225699999999996</v>
      </c>
    </row>
    <row r="100" spans="1:3" x14ac:dyDescent="0.35">
      <c r="A100">
        <v>9.5499258600000001</v>
      </c>
      <c r="B100">
        <v>8.9616500000000006</v>
      </c>
      <c r="C100">
        <v>6.2818899999999998</v>
      </c>
    </row>
    <row r="101" spans="1:3" x14ac:dyDescent="0.35">
      <c r="A101">
        <v>9.7723722100000003</v>
      </c>
      <c r="B101">
        <v>9.0257199999999997</v>
      </c>
      <c r="C101">
        <v>6.4369100000000001</v>
      </c>
    </row>
    <row r="102" spans="1:3" x14ac:dyDescent="0.35">
      <c r="A102">
        <v>10</v>
      </c>
      <c r="B102">
        <v>9.0877999999999997</v>
      </c>
      <c r="C102">
        <v>6.5876599999999996</v>
      </c>
    </row>
    <row r="103" spans="1:3" x14ac:dyDescent="0.35">
      <c r="A103">
        <v>10.23292992</v>
      </c>
      <c r="B103">
        <v>9.1479300000000006</v>
      </c>
      <c r="C103">
        <v>6.7341899999999999</v>
      </c>
    </row>
    <row r="104" spans="1:3" x14ac:dyDescent="0.35">
      <c r="A104">
        <v>10.471285480000001</v>
      </c>
      <c r="B104">
        <v>9.2061399999999995</v>
      </c>
      <c r="C104">
        <v>6.8765599999999996</v>
      </c>
    </row>
    <row r="105" spans="1:3" x14ac:dyDescent="0.35">
      <c r="A105">
        <v>10.71519305</v>
      </c>
      <c r="B105">
        <v>9.2624700000000004</v>
      </c>
      <c r="C105">
        <v>7.0148000000000001</v>
      </c>
    </row>
    <row r="106" spans="1:3" x14ac:dyDescent="0.35">
      <c r="A106">
        <v>10.96478196</v>
      </c>
      <c r="B106">
        <v>9.3169500000000003</v>
      </c>
      <c r="C106">
        <v>7.1489799999999999</v>
      </c>
    </row>
    <row r="107" spans="1:3" x14ac:dyDescent="0.35">
      <c r="A107">
        <v>11.22018454</v>
      </c>
      <c r="B107">
        <v>9.3696300000000008</v>
      </c>
      <c r="C107">
        <v>7.2791600000000001</v>
      </c>
    </row>
    <row r="108" spans="1:3" x14ac:dyDescent="0.35">
      <c r="A108">
        <v>11.48153621</v>
      </c>
      <c r="B108">
        <v>9.4205400000000008</v>
      </c>
      <c r="C108">
        <v>7.4054000000000002</v>
      </c>
    </row>
    <row r="109" spans="1:3" x14ac:dyDescent="0.35">
      <c r="A109">
        <v>11.748975550000001</v>
      </c>
      <c r="B109">
        <v>9.4697300000000002</v>
      </c>
      <c r="C109">
        <v>7.5277700000000003</v>
      </c>
    </row>
    <row r="110" spans="1:3" x14ac:dyDescent="0.35">
      <c r="A110">
        <v>12.02264435</v>
      </c>
      <c r="B110">
        <v>9.5172299999999996</v>
      </c>
      <c r="C110">
        <v>7.6463200000000002</v>
      </c>
    </row>
    <row r="111" spans="1:3" x14ac:dyDescent="0.35">
      <c r="A111">
        <v>12.302687710000001</v>
      </c>
      <c r="B111">
        <v>9.5630799999999994</v>
      </c>
      <c r="C111">
        <v>7.7611299999999996</v>
      </c>
    </row>
    <row r="112" spans="1:3" x14ac:dyDescent="0.35">
      <c r="A112">
        <v>12.58925412</v>
      </c>
      <c r="B112">
        <v>9.6073299999999993</v>
      </c>
      <c r="C112">
        <v>7.8722700000000003</v>
      </c>
    </row>
    <row r="113" spans="1:3" x14ac:dyDescent="0.35">
      <c r="A113">
        <v>12.882495520000001</v>
      </c>
      <c r="B113">
        <v>9.65001</v>
      </c>
      <c r="C113">
        <v>7.9798099999999996</v>
      </c>
    </row>
    <row r="114" spans="1:3" x14ac:dyDescent="0.35">
      <c r="A114">
        <v>13.182567390000001</v>
      </c>
      <c r="B114">
        <v>9.69116</v>
      </c>
      <c r="C114">
        <v>8.0838199999999993</v>
      </c>
    </row>
    <row r="115" spans="1:3" x14ac:dyDescent="0.35">
      <c r="A115">
        <v>13.489628829999999</v>
      </c>
      <c r="B115">
        <v>9.7308299999999992</v>
      </c>
      <c r="C115">
        <v>8.1843800000000009</v>
      </c>
    </row>
    <row r="116" spans="1:3" x14ac:dyDescent="0.35">
      <c r="A116">
        <v>13.80384265</v>
      </c>
      <c r="B116">
        <v>9.7690599999999996</v>
      </c>
      <c r="C116">
        <v>8.2815600000000007</v>
      </c>
    </row>
    <row r="117" spans="1:3" x14ac:dyDescent="0.35">
      <c r="A117">
        <v>14.12537545</v>
      </c>
      <c r="B117">
        <v>9.8058800000000002</v>
      </c>
      <c r="C117">
        <v>8.3754500000000007</v>
      </c>
    </row>
    <row r="118" spans="1:3" x14ac:dyDescent="0.35">
      <c r="A118">
        <v>14.45439771</v>
      </c>
      <c r="B118">
        <v>9.8413400000000006</v>
      </c>
      <c r="C118">
        <v>8.4661100000000005</v>
      </c>
    </row>
    <row r="119" spans="1:3" x14ac:dyDescent="0.35">
      <c r="A119">
        <v>14.79108388</v>
      </c>
      <c r="B119">
        <v>9.8754799999999996</v>
      </c>
      <c r="C119">
        <v>8.5536300000000001</v>
      </c>
    </row>
    <row r="120" spans="1:3" x14ac:dyDescent="0.35">
      <c r="A120">
        <v>15.135612480000001</v>
      </c>
      <c r="B120">
        <v>9.9083400000000008</v>
      </c>
      <c r="C120">
        <v>8.6380800000000004</v>
      </c>
    </row>
    <row r="121" spans="1:3" x14ac:dyDescent="0.35">
      <c r="A121">
        <v>15.488166189999999</v>
      </c>
      <c r="B121">
        <v>9.9399499999999996</v>
      </c>
      <c r="C121">
        <v>8.7195400000000003</v>
      </c>
    </row>
    <row r="122" spans="1:3" x14ac:dyDescent="0.35">
      <c r="A122">
        <v>15.84893192</v>
      </c>
      <c r="B122">
        <v>9.9703499999999998</v>
      </c>
      <c r="C122">
        <v>8.7980999999999998</v>
      </c>
    </row>
    <row r="123" spans="1:3" x14ac:dyDescent="0.35">
      <c r="A123">
        <v>16.218100969999998</v>
      </c>
      <c r="B123">
        <v>9.9995899999999995</v>
      </c>
      <c r="C123">
        <v>8.8738200000000003</v>
      </c>
    </row>
    <row r="124" spans="1:3" x14ac:dyDescent="0.35">
      <c r="A124">
        <v>16.595869069999999</v>
      </c>
      <c r="B124">
        <v>10.027699999999999</v>
      </c>
      <c r="C124">
        <v>8.94679</v>
      </c>
    </row>
    <row r="125" spans="1:3" x14ac:dyDescent="0.35">
      <c r="A125">
        <v>16.98243652</v>
      </c>
      <c r="B125">
        <v>10.0547</v>
      </c>
      <c r="C125">
        <v>9.01708</v>
      </c>
    </row>
    <row r="126" spans="1:3" x14ac:dyDescent="0.35">
      <c r="A126">
        <v>17.37800829</v>
      </c>
      <c r="B126">
        <v>10.0807</v>
      </c>
      <c r="C126">
        <v>9.0847800000000003</v>
      </c>
    </row>
    <row r="127" spans="1:3" x14ac:dyDescent="0.35">
      <c r="A127">
        <v>17.7827941</v>
      </c>
      <c r="B127">
        <v>10.105600000000001</v>
      </c>
      <c r="C127">
        <v>9.1499500000000005</v>
      </c>
    </row>
    <row r="128" spans="1:3" x14ac:dyDescent="0.35">
      <c r="A128">
        <v>18.197008589999999</v>
      </c>
      <c r="B128">
        <v>10.1295</v>
      </c>
      <c r="C128">
        <v>9.2126800000000006</v>
      </c>
    </row>
    <row r="129" spans="1:3" x14ac:dyDescent="0.35">
      <c r="A129">
        <v>18.62087137</v>
      </c>
      <c r="B129">
        <v>10.1525</v>
      </c>
      <c r="C129">
        <v>9.2730300000000003</v>
      </c>
    </row>
    <row r="130" spans="1:3" x14ac:dyDescent="0.35">
      <c r="A130">
        <v>19.054607180000001</v>
      </c>
      <c r="B130">
        <v>10.1746</v>
      </c>
      <c r="C130">
        <v>9.33108</v>
      </c>
    </row>
    <row r="131" spans="1:3" x14ac:dyDescent="0.35">
      <c r="A131">
        <v>19.498446000000001</v>
      </c>
      <c r="B131">
        <v>10.1958</v>
      </c>
      <c r="C131">
        <v>9.3869100000000003</v>
      </c>
    </row>
    <row r="132" spans="1:3" x14ac:dyDescent="0.35">
      <c r="A132">
        <v>19.952623150000001</v>
      </c>
      <c r="B132">
        <v>10.216100000000001</v>
      </c>
      <c r="C132">
        <v>9.4405800000000006</v>
      </c>
    </row>
    <row r="133" spans="1:3" x14ac:dyDescent="0.35">
      <c r="A133">
        <v>20.417379449999999</v>
      </c>
      <c r="B133">
        <v>10.2356</v>
      </c>
      <c r="C133">
        <v>9.4921600000000002</v>
      </c>
    </row>
    <row r="134" spans="1:3" x14ac:dyDescent="0.35">
      <c r="A134">
        <v>20.89296131</v>
      </c>
      <c r="B134">
        <v>10.254300000000001</v>
      </c>
      <c r="C134">
        <v>9.5417299999999994</v>
      </c>
    </row>
    <row r="135" spans="1:3" x14ac:dyDescent="0.35">
      <c r="A135">
        <v>21.379620899999999</v>
      </c>
      <c r="B135">
        <v>10.2723</v>
      </c>
      <c r="C135">
        <v>9.5893499999999996</v>
      </c>
    </row>
    <row r="136" spans="1:3" x14ac:dyDescent="0.35">
      <c r="A136">
        <v>21.877616239999998</v>
      </c>
      <c r="B136">
        <v>10.2895</v>
      </c>
      <c r="C136">
        <v>9.6350899999999999</v>
      </c>
    </row>
    <row r="137" spans="1:3" x14ac:dyDescent="0.35">
      <c r="A137">
        <v>22.387211390000001</v>
      </c>
      <c r="B137">
        <v>10.305899999999999</v>
      </c>
      <c r="C137">
        <v>9.6790099999999999</v>
      </c>
    </row>
    <row r="138" spans="1:3" x14ac:dyDescent="0.35">
      <c r="A138">
        <v>22.908676530000001</v>
      </c>
      <c r="B138">
        <v>10.3218</v>
      </c>
      <c r="C138">
        <v>9.7211700000000008</v>
      </c>
    </row>
    <row r="139" spans="1:3" x14ac:dyDescent="0.35">
      <c r="A139">
        <v>23.44228815</v>
      </c>
      <c r="B139">
        <v>10.3369</v>
      </c>
      <c r="C139">
        <v>9.7616399999999999</v>
      </c>
    </row>
    <row r="140" spans="1:3" x14ac:dyDescent="0.35">
      <c r="A140">
        <v>23.988329190000002</v>
      </c>
      <c r="B140">
        <v>10.3514</v>
      </c>
      <c r="C140">
        <v>9.8004700000000007</v>
      </c>
    </row>
    <row r="141" spans="1:3" x14ac:dyDescent="0.35">
      <c r="A141">
        <v>24.547089159999999</v>
      </c>
      <c r="B141">
        <v>10.3653</v>
      </c>
      <c r="C141">
        <v>9.8377400000000002</v>
      </c>
    </row>
    <row r="142" spans="1:3" x14ac:dyDescent="0.35">
      <c r="A142">
        <v>25.11886432</v>
      </c>
      <c r="B142">
        <v>10.3787</v>
      </c>
      <c r="C142">
        <v>9.8734800000000007</v>
      </c>
    </row>
    <row r="143" spans="1:3" x14ac:dyDescent="0.35">
      <c r="A143">
        <v>25.70395783</v>
      </c>
      <c r="B143">
        <v>10.391400000000001</v>
      </c>
      <c r="C143">
        <v>9.9077599999999997</v>
      </c>
    </row>
    <row r="144" spans="1:3" x14ac:dyDescent="0.35">
      <c r="A144">
        <v>26.302679919999999</v>
      </c>
      <c r="B144">
        <v>10.403700000000001</v>
      </c>
      <c r="C144">
        <v>9.9406400000000001</v>
      </c>
    </row>
    <row r="145" spans="1:3" x14ac:dyDescent="0.35">
      <c r="A145">
        <v>26.915348040000001</v>
      </c>
      <c r="B145">
        <v>10.4154</v>
      </c>
      <c r="C145">
        <v>9.9721600000000006</v>
      </c>
    </row>
    <row r="146" spans="1:3" x14ac:dyDescent="0.35">
      <c r="A146">
        <v>27.542287030000001</v>
      </c>
      <c r="B146">
        <v>10.426600000000001</v>
      </c>
      <c r="C146">
        <v>10.0024</v>
      </c>
    </row>
    <row r="147" spans="1:3" x14ac:dyDescent="0.35">
      <c r="A147">
        <v>28.18382931</v>
      </c>
      <c r="B147">
        <v>10.4373</v>
      </c>
      <c r="C147">
        <v>10.0313</v>
      </c>
    </row>
    <row r="148" spans="1:3" x14ac:dyDescent="0.35">
      <c r="A148">
        <v>28.840315029999999</v>
      </c>
      <c r="B148">
        <v>10.4476</v>
      </c>
      <c r="C148">
        <v>10.059100000000001</v>
      </c>
    </row>
    <row r="149" spans="1:3" x14ac:dyDescent="0.35">
      <c r="A149">
        <v>29.51209227</v>
      </c>
      <c r="B149">
        <v>10.4574</v>
      </c>
      <c r="C149">
        <v>10.085699999999999</v>
      </c>
    </row>
    <row r="150" spans="1:3" x14ac:dyDescent="0.35">
      <c r="A150">
        <v>30.199517199999999</v>
      </c>
      <c r="B150">
        <v>10.466799999999999</v>
      </c>
      <c r="C150">
        <v>10.1112</v>
      </c>
    </row>
    <row r="151" spans="1:3" x14ac:dyDescent="0.35">
      <c r="A151">
        <v>30.90295433</v>
      </c>
      <c r="B151">
        <v>10.4758</v>
      </c>
      <c r="C151">
        <v>10.1356</v>
      </c>
    </row>
    <row r="152" spans="1:3" x14ac:dyDescent="0.35">
      <c r="A152">
        <v>31.622776600000002</v>
      </c>
      <c r="B152">
        <v>10.484500000000001</v>
      </c>
      <c r="C152">
        <v>10.158899999999999</v>
      </c>
    </row>
    <row r="153" spans="1:3" x14ac:dyDescent="0.35">
      <c r="A153">
        <v>32.359365689999997</v>
      </c>
      <c r="B153">
        <v>10.492699999999999</v>
      </c>
      <c r="C153">
        <v>10.1813</v>
      </c>
    </row>
    <row r="154" spans="1:3" x14ac:dyDescent="0.35">
      <c r="A154">
        <v>33.113112149999999</v>
      </c>
      <c r="B154">
        <v>10.5006</v>
      </c>
      <c r="C154">
        <v>10.2028</v>
      </c>
    </row>
    <row r="155" spans="1:3" x14ac:dyDescent="0.35">
      <c r="A155">
        <v>33.884415609999998</v>
      </c>
      <c r="B155">
        <v>10.5082</v>
      </c>
      <c r="C155">
        <v>10.2233</v>
      </c>
    </row>
    <row r="156" spans="1:3" x14ac:dyDescent="0.35">
      <c r="A156">
        <v>34.673685050000003</v>
      </c>
      <c r="B156">
        <v>10.5154</v>
      </c>
      <c r="C156">
        <v>10.242900000000001</v>
      </c>
    </row>
    <row r="157" spans="1:3" x14ac:dyDescent="0.35">
      <c r="A157">
        <v>35.481338919999999</v>
      </c>
      <c r="B157">
        <v>10.5223</v>
      </c>
      <c r="C157">
        <v>10.261799999999999</v>
      </c>
    </row>
    <row r="158" spans="1:3" x14ac:dyDescent="0.35">
      <c r="A158">
        <v>36.307805479999999</v>
      </c>
      <c r="B158">
        <v>10.5289</v>
      </c>
      <c r="C158">
        <v>10.2798</v>
      </c>
    </row>
    <row r="159" spans="1:3" x14ac:dyDescent="0.35">
      <c r="A159">
        <v>37.15352291</v>
      </c>
      <c r="B159">
        <v>10.5352</v>
      </c>
      <c r="C159">
        <v>10.297000000000001</v>
      </c>
    </row>
    <row r="160" spans="1:3" x14ac:dyDescent="0.35">
      <c r="A160">
        <v>38.018939629999998</v>
      </c>
      <c r="B160">
        <v>10.5413</v>
      </c>
      <c r="C160">
        <v>10.313499999999999</v>
      </c>
    </row>
    <row r="161" spans="1:3" x14ac:dyDescent="0.35">
      <c r="A161">
        <v>38.904514499999998</v>
      </c>
      <c r="B161">
        <v>10.547000000000001</v>
      </c>
      <c r="C161">
        <v>10.3293</v>
      </c>
    </row>
    <row r="162" spans="1:3" x14ac:dyDescent="0.35">
      <c r="A162">
        <v>39.810717060000002</v>
      </c>
      <c r="B162">
        <v>10.5526</v>
      </c>
      <c r="C162">
        <v>10.3444</v>
      </c>
    </row>
    <row r="163" spans="1:3" x14ac:dyDescent="0.35">
      <c r="A163">
        <v>40.738027780000003</v>
      </c>
      <c r="B163">
        <v>10.5579</v>
      </c>
      <c r="C163">
        <v>10.3588</v>
      </c>
    </row>
    <row r="164" spans="1:3" x14ac:dyDescent="0.35">
      <c r="A164">
        <v>41.686938349999998</v>
      </c>
      <c r="B164">
        <v>10.562900000000001</v>
      </c>
      <c r="C164">
        <v>10.3726</v>
      </c>
    </row>
    <row r="165" spans="1:3" x14ac:dyDescent="0.35">
      <c r="A165">
        <v>42.657951879999999</v>
      </c>
      <c r="B165">
        <v>10.5677</v>
      </c>
      <c r="C165">
        <v>10.3858</v>
      </c>
    </row>
    <row r="166" spans="1:3" x14ac:dyDescent="0.35">
      <c r="A166">
        <v>43.651583219999999</v>
      </c>
      <c r="B166">
        <v>10.5724</v>
      </c>
      <c r="C166">
        <v>10.3985</v>
      </c>
    </row>
    <row r="167" spans="1:3" x14ac:dyDescent="0.35">
      <c r="A167">
        <v>44.668359219999999</v>
      </c>
      <c r="B167">
        <v>10.5768</v>
      </c>
      <c r="C167">
        <v>10.410600000000001</v>
      </c>
    </row>
    <row r="168" spans="1:3" x14ac:dyDescent="0.35">
      <c r="A168">
        <v>45.708818960000002</v>
      </c>
      <c r="B168">
        <v>10.581</v>
      </c>
      <c r="C168">
        <v>10.4221</v>
      </c>
    </row>
    <row r="169" spans="1:3" x14ac:dyDescent="0.35">
      <c r="A169">
        <v>46.773514130000002</v>
      </c>
      <c r="B169">
        <v>10.585000000000001</v>
      </c>
      <c r="C169">
        <v>10.433199999999999</v>
      </c>
    </row>
    <row r="170" spans="1:3" x14ac:dyDescent="0.35">
      <c r="A170">
        <v>47.863009230000003</v>
      </c>
      <c r="B170">
        <v>10.588900000000001</v>
      </c>
      <c r="C170">
        <v>10.4438</v>
      </c>
    </row>
    <row r="171" spans="1:3" x14ac:dyDescent="0.35">
      <c r="A171">
        <v>48.977881940000003</v>
      </c>
      <c r="B171">
        <v>10.592599999999999</v>
      </c>
      <c r="C171">
        <v>10.453900000000001</v>
      </c>
    </row>
    <row r="172" spans="1:3" x14ac:dyDescent="0.35">
      <c r="A172">
        <v>50.118723359999997</v>
      </c>
      <c r="B172">
        <v>10.5961</v>
      </c>
      <c r="C172">
        <v>10.4636</v>
      </c>
    </row>
    <row r="173" spans="1:3" x14ac:dyDescent="0.35">
      <c r="A173">
        <v>51.286138399999999</v>
      </c>
      <c r="B173">
        <v>10.599500000000001</v>
      </c>
      <c r="C173">
        <v>10.472799999999999</v>
      </c>
    </row>
    <row r="174" spans="1:3" x14ac:dyDescent="0.35">
      <c r="A174">
        <v>52.480746019999998</v>
      </c>
      <c r="B174">
        <v>10.6027</v>
      </c>
      <c r="C174">
        <v>10.4817</v>
      </c>
    </row>
    <row r="175" spans="1:3" x14ac:dyDescent="0.35">
      <c r="A175">
        <v>53.703179640000002</v>
      </c>
      <c r="B175">
        <v>10.6058</v>
      </c>
      <c r="C175">
        <v>10.4901</v>
      </c>
    </row>
    <row r="176" spans="1:3" x14ac:dyDescent="0.35">
      <c r="A176">
        <v>54.954087389999998</v>
      </c>
      <c r="B176">
        <v>10.608700000000001</v>
      </c>
      <c r="C176">
        <v>10.498200000000001</v>
      </c>
    </row>
    <row r="177" spans="1:3" x14ac:dyDescent="0.35">
      <c r="A177">
        <v>56.234132520000003</v>
      </c>
      <c r="B177">
        <v>10.611499999999999</v>
      </c>
      <c r="C177">
        <v>10.5059</v>
      </c>
    </row>
    <row r="178" spans="1:3" x14ac:dyDescent="0.35">
      <c r="A178">
        <v>57.543993729999997</v>
      </c>
      <c r="B178">
        <v>10.6142</v>
      </c>
      <c r="C178">
        <v>10.513299999999999</v>
      </c>
    </row>
    <row r="179" spans="1:3" x14ac:dyDescent="0.35">
      <c r="A179">
        <v>58.884365539999997</v>
      </c>
      <c r="B179">
        <v>10.6168</v>
      </c>
      <c r="C179">
        <v>10.520300000000001</v>
      </c>
    </row>
    <row r="180" spans="1:3" x14ac:dyDescent="0.35">
      <c r="A180">
        <v>60.25595861</v>
      </c>
      <c r="B180">
        <v>10.619199999999999</v>
      </c>
      <c r="C180">
        <v>10.527100000000001</v>
      </c>
    </row>
    <row r="181" spans="1:3" x14ac:dyDescent="0.35">
      <c r="A181">
        <v>61.659500190000003</v>
      </c>
      <c r="B181">
        <v>10.621499999999999</v>
      </c>
      <c r="C181">
        <v>10.5335</v>
      </c>
    </row>
    <row r="182" spans="1:3" x14ac:dyDescent="0.35">
      <c r="A182">
        <v>63.095734450000002</v>
      </c>
      <c r="B182">
        <v>10.623799999999999</v>
      </c>
      <c r="C182">
        <v>10.5397</v>
      </c>
    </row>
    <row r="183" spans="1:3" x14ac:dyDescent="0.35">
      <c r="A183">
        <v>64.565422900000002</v>
      </c>
      <c r="B183">
        <v>10.6259</v>
      </c>
      <c r="C183">
        <v>10.5456</v>
      </c>
    </row>
    <row r="184" spans="1:3" x14ac:dyDescent="0.35">
      <c r="A184">
        <v>66.069344799999996</v>
      </c>
      <c r="B184">
        <v>10.628</v>
      </c>
      <c r="C184">
        <v>10.5512</v>
      </c>
    </row>
    <row r="185" spans="1:3" x14ac:dyDescent="0.35">
      <c r="A185">
        <v>67.608297539999995</v>
      </c>
      <c r="B185">
        <v>10.629899999999999</v>
      </c>
      <c r="C185">
        <v>10.5566</v>
      </c>
    </row>
    <row r="186" spans="1:3" x14ac:dyDescent="0.35">
      <c r="A186">
        <v>69.183097090000004</v>
      </c>
      <c r="B186">
        <v>10.6318</v>
      </c>
      <c r="C186">
        <v>10.5617</v>
      </c>
    </row>
    <row r="187" spans="1:3" x14ac:dyDescent="0.35">
      <c r="A187">
        <v>70.794578439999995</v>
      </c>
      <c r="B187">
        <v>10.633599999999999</v>
      </c>
      <c r="C187">
        <v>10.566599999999999</v>
      </c>
    </row>
    <row r="188" spans="1:3" x14ac:dyDescent="0.35">
      <c r="A188">
        <v>72.443596009999993</v>
      </c>
      <c r="B188">
        <v>10.635300000000001</v>
      </c>
      <c r="C188">
        <v>10.571300000000001</v>
      </c>
    </row>
    <row r="189" spans="1:3" x14ac:dyDescent="0.35">
      <c r="A189">
        <v>74.13102413</v>
      </c>
      <c r="B189">
        <v>10.636900000000001</v>
      </c>
      <c r="C189">
        <v>10.575799999999999</v>
      </c>
    </row>
    <row r="190" spans="1:3" x14ac:dyDescent="0.35">
      <c r="A190">
        <v>75.857757500000005</v>
      </c>
      <c r="B190">
        <v>10.638400000000001</v>
      </c>
      <c r="C190">
        <v>10.5801</v>
      </c>
    </row>
    <row r="191" spans="1:3" x14ac:dyDescent="0.35">
      <c r="A191">
        <v>77.624711660000003</v>
      </c>
      <c r="B191">
        <v>10.639900000000001</v>
      </c>
      <c r="C191">
        <v>10.584199999999999</v>
      </c>
    </row>
    <row r="192" spans="1:3" x14ac:dyDescent="0.35">
      <c r="A192">
        <v>79.432823470000002</v>
      </c>
      <c r="B192">
        <v>10.641299999999999</v>
      </c>
      <c r="C192">
        <v>10.588100000000001</v>
      </c>
    </row>
    <row r="193" spans="1:3" x14ac:dyDescent="0.35">
      <c r="A193">
        <v>81.283051619999995</v>
      </c>
      <c r="B193">
        <v>10.6427</v>
      </c>
      <c r="C193">
        <v>10.591799999999999</v>
      </c>
    </row>
    <row r="194" spans="1:3" x14ac:dyDescent="0.35">
      <c r="A194">
        <v>83.176377110000004</v>
      </c>
      <c r="B194">
        <v>10.644</v>
      </c>
      <c r="C194">
        <v>10.5954</v>
      </c>
    </row>
    <row r="195" spans="1:3" x14ac:dyDescent="0.35">
      <c r="A195">
        <v>85.113803820000001</v>
      </c>
      <c r="B195">
        <v>10.645200000000001</v>
      </c>
      <c r="C195">
        <v>10.598800000000001</v>
      </c>
    </row>
    <row r="196" spans="1:3" x14ac:dyDescent="0.35">
      <c r="A196">
        <v>87.096359000000007</v>
      </c>
      <c r="B196">
        <v>10.6464</v>
      </c>
      <c r="C196">
        <v>10.6021</v>
      </c>
    </row>
    <row r="197" spans="1:3" x14ac:dyDescent="0.35">
      <c r="A197">
        <v>89.125093809999996</v>
      </c>
      <c r="B197">
        <v>10.647500000000001</v>
      </c>
      <c r="C197">
        <v>10.6052</v>
      </c>
    </row>
    <row r="198" spans="1:3" x14ac:dyDescent="0.35">
      <c r="A198">
        <v>91.201083940000004</v>
      </c>
      <c r="B198">
        <v>10.6486</v>
      </c>
      <c r="C198">
        <v>10.6081</v>
      </c>
    </row>
    <row r="199" spans="1:3" x14ac:dyDescent="0.35">
      <c r="A199">
        <v>93.325430080000004</v>
      </c>
      <c r="B199">
        <v>10.6496</v>
      </c>
      <c r="C199">
        <v>10.611000000000001</v>
      </c>
    </row>
    <row r="200" spans="1:3" x14ac:dyDescent="0.35">
      <c r="A200">
        <v>95.499258600000005</v>
      </c>
      <c r="B200">
        <v>10.650600000000001</v>
      </c>
      <c r="C200">
        <v>10.6137</v>
      </c>
    </row>
    <row r="201" spans="1:3" x14ac:dyDescent="0.35">
      <c r="A201">
        <v>97.723722100000003</v>
      </c>
      <c r="B201">
        <v>10.6515</v>
      </c>
      <c r="C201">
        <v>10.616300000000001</v>
      </c>
    </row>
    <row r="202" spans="1:3" x14ac:dyDescent="0.35">
      <c r="A202">
        <v>100</v>
      </c>
      <c r="B202">
        <v>10.6524</v>
      </c>
      <c r="C202">
        <v>10.6188</v>
      </c>
    </row>
    <row r="203" spans="1:3" x14ac:dyDescent="0.35">
      <c r="A203">
        <v>102.32929919999999</v>
      </c>
      <c r="B203">
        <v>10.6533</v>
      </c>
      <c r="C203">
        <v>10.6211</v>
      </c>
    </row>
    <row r="204" spans="1:3" x14ac:dyDescent="0.35">
      <c r="A204">
        <v>104.7128548</v>
      </c>
      <c r="B204">
        <v>10.6541</v>
      </c>
      <c r="C204">
        <v>10.6234</v>
      </c>
    </row>
    <row r="205" spans="1:3" x14ac:dyDescent="0.35">
      <c r="A205">
        <v>107.15193050000001</v>
      </c>
      <c r="B205">
        <v>10.6549</v>
      </c>
      <c r="C205">
        <v>10.625500000000001</v>
      </c>
    </row>
    <row r="206" spans="1:3" x14ac:dyDescent="0.35">
      <c r="A206">
        <v>109.64781960000001</v>
      </c>
      <c r="B206">
        <v>10.6556</v>
      </c>
      <c r="C206">
        <v>10.627599999999999</v>
      </c>
    </row>
    <row r="207" spans="1:3" x14ac:dyDescent="0.35">
      <c r="A207">
        <v>112.2018454</v>
      </c>
      <c r="B207">
        <v>10.6563</v>
      </c>
      <c r="C207">
        <v>10.6296</v>
      </c>
    </row>
    <row r="208" spans="1:3" x14ac:dyDescent="0.35">
      <c r="A208">
        <v>114.8153621</v>
      </c>
      <c r="B208">
        <v>10.657</v>
      </c>
      <c r="C208">
        <v>10.631399999999999</v>
      </c>
    </row>
    <row r="209" spans="1:3" x14ac:dyDescent="0.35">
      <c r="A209">
        <v>117.4897555</v>
      </c>
      <c r="B209">
        <v>10.6577</v>
      </c>
      <c r="C209">
        <v>10.6332</v>
      </c>
    </row>
    <row r="210" spans="1:3" x14ac:dyDescent="0.35">
      <c r="A210">
        <v>120.2264435</v>
      </c>
      <c r="B210">
        <v>10.658300000000001</v>
      </c>
      <c r="C210">
        <v>10.635</v>
      </c>
    </row>
    <row r="211" spans="1:3" x14ac:dyDescent="0.35">
      <c r="A211">
        <v>123.02687709999999</v>
      </c>
      <c r="B211">
        <v>10.658899999999999</v>
      </c>
      <c r="C211">
        <v>10.6366</v>
      </c>
    </row>
    <row r="212" spans="1:3" x14ac:dyDescent="0.35">
      <c r="A212">
        <v>125.8925412</v>
      </c>
      <c r="B212">
        <v>10.6594</v>
      </c>
      <c r="C212">
        <v>10.638199999999999</v>
      </c>
    </row>
    <row r="213" spans="1:3" x14ac:dyDescent="0.35">
      <c r="A213">
        <v>128.82495520000001</v>
      </c>
      <c r="B213">
        <v>10.66</v>
      </c>
      <c r="C213">
        <v>10.6396</v>
      </c>
    </row>
    <row r="214" spans="1:3" x14ac:dyDescent="0.35">
      <c r="A214">
        <v>131.8256739</v>
      </c>
      <c r="B214">
        <v>10.660500000000001</v>
      </c>
      <c r="C214">
        <v>10.6411</v>
      </c>
    </row>
    <row r="215" spans="1:3" x14ac:dyDescent="0.35">
      <c r="A215">
        <v>134.89628830000001</v>
      </c>
      <c r="B215">
        <v>10.661</v>
      </c>
      <c r="C215">
        <v>10.6424</v>
      </c>
    </row>
    <row r="216" spans="1:3" x14ac:dyDescent="0.35">
      <c r="A216">
        <v>138.03842650000001</v>
      </c>
      <c r="B216">
        <v>10.6614</v>
      </c>
      <c r="C216">
        <v>10.643700000000001</v>
      </c>
    </row>
    <row r="217" spans="1:3" x14ac:dyDescent="0.35">
      <c r="A217">
        <v>141.25375450000001</v>
      </c>
      <c r="B217">
        <v>10.661899999999999</v>
      </c>
      <c r="C217">
        <v>10.645</v>
      </c>
    </row>
    <row r="218" spans="1:3" x14ac:dyDescent="0.35">
      <c r="A218">
        <v>144.54397710000001</v>
      </c>
      <c r="B218">
        <v>10.6623</v>
      </c>
      <c r="C218">
        <v>10.6462</v>
      </c>
    </row>
    <row r="219" spans="1:3" x14ac:dyDescent="0.35">
      <c r="A219">
        <v>147.91083879999999</v>
      </c>
      <c r="B219">
        <v>10.662699999999999</v>
      </c>
      <c r="C219">
        <v>10.6473</v>
      </c>
    </row>
    <row r="220" spans="1:3" x14ac:dyDescent="0.35">
      <c r="A220">
        <v>151.3561248</v>
      </c>
      <c r="B220">
        <v>10.6631</v>
      </c>
      <c r="C220">
        <v>10.648400000000001</v>
      </c>
    </row>
    <row r="221" spans="1:3" x14ac:dyDescent="0.35">
      <c r="A221">
        <v>154.88166190000001</v>
      </c>
      <c r="B221">
        <v>10.663500000000001</v>
      </c>
      <c r="C221">
        <v>10.6494</v>
      </c>
    </row>
    <row r="222" spans="1:3" x14ac:dyDescent="0.35">
      <c r="A222">
        <v>158.48931920000001</v>
      </c>
      <c r="B222">
        <v>10.6638</v>
      </c>
      <c r="C222">
        <v>10.650399999999999</v>
      </c>
    </row>
    <row r="223" spans="1:3" x14ac:dyDescent="0.35">
      <c r="A223">
        <v>162.1810097</v>
      </c>
      <c r="B223">
        <v>10.664199999999999</v>
      </c>
      <c r="C223">
        <v>10.651300000000001</v>
      </c>
    </row>
    <row r="224" spans="1:3" x14ac:dyDescent="0.35">
      <c r="A224">
        <v>165.95869070000001</v>
      </c>
      <c r="B224">
        <v>10.6645</v>
      </c>
      <c r="C224">
        <v>10.652200000000001</v>
      </c>
    </row>
    <row r="225" spans="1:3" x14ac:dyDescent="0.35">
      <c r="A225">
        <v>169.82436519999999</v>
      </c>
      <c r="B225">
        <v>10.6648</v>
      </c>
      <c r="C225">
        <v>10.6531</v>
      </c>
    </row>
    <row r="226" spans="1:3" x14ac:dyDescent="0.35">
      <c r="A226">
        <v>173.7800829</v>
      </c>
      <c r="B226">
        <v>10.665100000000001</v>
      </c>
      <c r="C226">
        <v>10.6539</v>
      </c>
    </row>
    <row r="227" spans="1:3" x14ac:dyDescent="0.35">
      <c r="A227">
        <v>177.82794100000001</v>
      </c>
      <c r="B227">
        <v>10.6653</v>
      </c>
      <c r="C227">
        <v>10.6547</v>
      </c>
    </row>
    <row r="228" spans="1:3" x14ac:dyDescent="0.35">
      <c r="A228">
        <v>181.97008589999999</v>
      </c>
      <c r="B228">
        <v>10.6656</v>
      </c>
      <c r="C228">
        <v>10.6554</v>
      </c>
    </row>
    <row r="229" spans="1:3" x14ac:dyDescent="0.35">
      <c r="A229">
        <v>186.2087137</v>
      </c>
      <c r="B229">
        <v>10.665900000000001</v>
      </c>
      <c r="C229">
        <v>10.6561</v>
      </c>
    </row>
    <row r="230" spans="1:3" x14ac:dyDescent="0.35">
      <c r="A230">
        <v>190.54607179999999</v>
      </c>
      <c r="B230">
        <v>10.6661</v>
      </c>
      <c r="C230">
        <v>10.6568</v>
      </c>
    </row>
    <row r="231" spans="1:3" x14ac:dyDescent="0.35">
      <c r="A231">
        <v>194.98446000000001</v>
      </c>
      <c r="B231">
        <v>10.6663</v>
      </c>
      <c r="C231">
        <v>10.657400000000001</v>
      </c>
    </row>
    <row r="232" spans="1:3" x14ac:dyDescent="0.35">
      <c r="A232">
        <v>199.52623149999999</v>
      </c>
      <c r="B232">
        <v>10.666499999999999</v>
      </c>
      <c r="C232">
        <v>10.658099999999999</v>
      </c>
    </row>
    <row r="233" spans="1:3" x14ac:dyDescent="0.35">
      <c r="A233">
        <v>204.17379450000001</v>
      </c>
      <c r="B233">
        <v>10.666700000000001</v>
      </c>
      <c r="C233">
        <v>10.6586</v>
      </c>
    </row>
    <row r="234" spans="1:3" x14ac:dyDescent="0.35">
      <c r="A234">
        <v>208.92961310000001</v>
      </c>
      <c r="B234">
        <v>10.6669</v>
      </c>
      <c r="C234">
        <v>10.6592</v>
      </c>
    </row>
    <row r="235" spans="1:3" x14ac:dyDescent="0.35">
      <c r="A235">
        <v>213.796209</v>
      </c>
      <c r="B235">
        <v>10.6671</v>
      </c>
      <c r="C235">
        <v>10.659700000000001</v>
      </c>
    </row>
    <row r="236" spans="1:3" x14ac:dyDescent="0.35">
      <c r="A236">
        <v>218.7761624</v>
      </c>
      <c r="B236">
        <v>10.667299999999999</v>
      </c>
      <c r="C236">
        <v>10.6602</v>
      </c>
    </row>
    <row r="237" spans="1:3" x14ac:dyDescent="0.35">
      <c r="A237">
        <v>223.87211389999999</v>
      </c>
      <c r="B237">
        <v>10.6675</v>
      </c>
      <c r="C237">
        <v>10.6607</v>
      </c>
    </row>
    <row r="238" spans="1:3" x14ac:dyDescent="0.35">
      <c r="A238">
        <v>229.0867653</v>
      </c>
      <c r="B238">
        <v>10.6676</v>
      </c>
      <c r="C238">
        <v>10.661199999999999</v>
      </c>
    </row>
    <row r="239" spans="1:3" x14ac:dyDescent="0.35">
      <c r="A239">
        <v>234.42288149999999</v>
      </c>
      <c r="B239">
        <v>10.6678</v>
      </c>
      <c r="C239">
        <v>10.6616</v>
      </c>
    </row>
    <row r="240" spans="1:3" x14ac:dyDescent="0.35">
      <c r="A240">
        <v>239.88329189999999</v>
      </c>
      <c r="B240">
        <v>10.667899999999999</v>
      </c>
      <c r="C240">
        <v>10.662100000000001</v>
      </c>
    </row>
    <row r="241" spans="1:3" x14ac:dyDescent="0.35">
      <c r="A241">
        <v>245.47089159999999</v>
      </c>
      <c r="B241">
        <v>10.668100000000001</v>
      </c>
      <c r="C241">
        <v>10.6625</v>
      </c>
    </row>
    <row r="242" spans="1:3" x14ac:dyDescent="0.35">
      <c r="A242">
        <v>251.1886432</v>
      </c>
      <c r="B242">
        <v>10.668200000000001</v>
      </c>
      <c r="C242">
        <v>10.662800000000001</v>
      </c>
    </row>
    <row r="243" spans="1:3" x14ac:dyDescent="0.35">
      <c r="A243">
        <v>257.03957830000002</v>
      </c>
      <c r="B243">
        <v>10.6683</v>
      </c>
      <c r="C243">
        <v>10.6632</v>
      </c>
    </row>
    <row r="244" spans="1:3" x14ac:dyDescent="0.35">
      <c r="A244">
        <v>263.02679920000003</v>
      </c>
      <c r="B244">
        <v>10.6684</v>
      </c>
      <c r="C244">
        <v>10.663500000000001</v>
      </c>
    </row>
    <row r="245" spans="1:3" x14ac:dyDescent="0.35">
      <c r="A245">
        <v>269.15348039999998</v>
      </c>
      <c r="B245">
        <v>10.6685</v>
      </c>
      <c r="C245">
        <v>10.6639</v>
      </c>
    </row>
    <row r="246" spans="1:3" x14ac:dyDescent="0.35">
      <c r="A246">
        <v>275.4228703</v>
      </c>
      <c r="B246">
        <v>10.6686</v>
      </c>
      <c r="C246">
        <v>10.664199999999999</v>
      </c>
    </row>
    <row r="247" spans="1:3" x14ac:dyDescent="0.35">
      <c r="A247">
        <v>281.83829309999999</v>
      </c>
      <c r="B247">
        <v>10.668699999999999</v>
      </c>
      <c r="C247">
        <v>10.6645</v>
      </c>
    </row>
    <row r="248" spans="1:3" x14ac:dyDescent="0.35">
      <c r="A248">
        <v>288.40315029999999</v>
      </c>
      <c r="B248">
        <v>10.668799999999999</v>
      </c>
      <c r="C248">
        <v>10.6647</v>
      </c>
    </row>
    <row r="249" spans="1:3" x14ac:dyDescent="0.35">
      <c r="A249">
        <v>295.12092269999999</v>
      </c>
      <c r="B249">
        <v>10.668900000000001</v>
      </c>
      <c r="C249">
        <v>10.664999999999999</v>
      </c>
    </row>
    <row r="250" spans="1:3" x14ac:dyDescent="0.35">
      <c r="A250">
        <v>301.99517200000003</v>
      </c>
      <c r="B250">
        <v>10.669</v>
      </c>
      <c r="C250">
        <v>10.6653</v>
      </c>
    </row>
    <row r="251" spans="1:3" x14ac:dyDescent="0.35">
      <c r="A251">
        <v>309.0295433</v>
      </c>
      <c r="B251">
        <v>10.669</v>
      </c>
      <c r="C251">
        <v>10.6655</v>
      </c>
    </row>
    <row r="252" spans="1:3" x14ac:dyDescent="0.35">
      <c r="A252">
        <v>316.22776599999997</v>
      </c>
      <c r="B252">
        <v>10.6691</v>
      </c>
      <c r="C252">
        <v>10.665699999999999</v>
      </c>
    </row>
    <row r="253" spans="1:3" x14ac:dyDescent="0.35">
      <c r="A253">
        <v>323.59365689999998</v>
      </c>
      <c r="B253">
        <v>10.6692</v>
      </c>
      <c r="C253">
        <v>10.665900000000001</v>
      </c>
    </row>
    <row r="254" spans="1:3" x14ac:dyDescent="0.35">
      <c r="A254">
        <v>331.13112150000001</v>
      </c>
      <c r="B254">
        <v>10.6692</v>
      </c>
      <c r="C254">
        <v>10.6661</v>
      </c>
    </row>
    <row r="255" spans="1:3" x14ac:dyDescent="0.35">
      <c r="A255">
        <v>338.84415610000002</v>
      </c>
      <c r="B255">
        <v>10.6693</v>
      </c>
      <c r="C255">
        <v>10.6663</v>
      </c>
    </row>
    <row r="256" spans="1:3" x14ac:dyDescent="0.35">
      <c r="A256">
        <v>346.7368505</v>
      </c>
      <c r="B256">
        <v>10.6693</v>
      </c>
      <c r="C256">
        <v>10.666499999999999</v>
      </c>
    </row>
    <row r="257" spans="1:3" x14ac:dyDescent="0.35">
      <c r="A257">
        <v>354.81338920000002</v>
      </c>
      <c r="B257">
        <v>10.6693</v>
      </c>
      <c r="C257">
        <v>10.666700000000001</v>
      </c>
    </row>
    <row r="258" spans="1:3" x14ac:dyDescent="0.35">
      <c r="A258">
        <v>363.07805480000002</v>
      </c>
      <c r="B258">
        <v>10.6694</v>
      </c>
      <c r="C258">
        <v>10.6668</v>
      </c>
    </row>
    <row r="259" spans="1:3" x14ac:dyDescent="0.35">
      <c r="A259">
        <v>371.53522909999998</v>
      </c>
      <c r="B259">
        <v>10.6694</v>
      </c>
      <c r="C259">
        <v>10.667</v>
      </c>
    </row>
    <row r="260" spans="1:3" x14ac:dyDescent="0.35">
      <c r="A260">
        <v>380.1893963</v>
      </c>
      <c r="B260">
        <v>10.6694</v>
      </c>
      <c r="C260">
        <v>10.6671</v>
      </c>
    </row>
    <row r="261" spans="1:3" x14ac:dyDescent="0.35">
      <c r="A261">
        <v>389.04514499999999</v>
      </c>
      <c r="B261">
        <v>10.669499999999999</v>
      </c>
      <c r="C261">
        <v>10.667199999999999</v>
      </c>
    </row>
    <row r="262" spans="1:3" x14ac:dyDescent="0.35">
      <c r="A262">
        <v>398.10717060000002</v>
      </c>
      <c r="B262">
        <v>10.669499999999999</v>
      </c>
      <c r="C262">
        <v>10.667299999999999</v>
      </c>
    </row>
    <row r="263" spans="1:3" x14ac:dyDescent="0.35">
      <c r="A263">
        <v>407.38027779999999</v>
      </c>
      <c r="B263">
        <v>10.669499999999999</v>
      </c>
      <c r="C263">
        <v>10.667400000000001</v>
      </c>
    </row>
    <row r="264" spans="1:3" x14ac:dyDescent="0.35">
      <c r="A264">
        <v>416.86938350000003</v>
      </c>
      <c r="B264">
        <v>10.669499999999999</v>
      </c>
      <c r="C264">
        <v>10.6675</v>
      </c>
    </row>
    <row r="265" spans="1:3" x14ac:dyDescent="0.35">
      <c r="A265">
        <v>426.57951880000002</v>
      </c>
      <c r="B265">
        <v>10.669499999999999</v>
      </c>
      <c r="C265">
        <v>10.6676</v>
      </c>
    </row>
    <row r="266" spans="1:3" x14ac:dyDescent="0.35">
      <c r="A266">
        <v>436.51583219999998</v>
      </c>
      <c r="B266">
        <v>10.669499999999999</v>
      </c>
      <c r="C266">
        <v>10.6677</v>
      </c>
    </row>
    <row r="267" spans="1:3" x14ac:dyDescent="0.35">
      <c r="A267">
        <v>446.68359220000002</v>
      </c>
      <c r="B267">
        <v>10.669499999999999</v>
      </c>
      <c r="C267">
        <v>10.6678</v>
      </c>
    </row>
    <row r="268" spans="1:3" x14ac:dyDescent="0.35">
      <c r="A268">
        <v>457.08818960000002</v>
      </c>
      <c r="B268">
        <v>10.669499999999999</v>
      </c>
      <c r="C268">
        <v>10.667899999999999</v>
      </c>
    </row>
    <row r="269" spans="1:3" x14ac:dyDescent="0.35">
      <c r="A269">
        <v>467.73514130000001</v>
      </c>
      <c r="B269">
        <v>10.669499999999999</v>
      </c>
      <c r="C269">
        <v>10.667899999999999</v>
      </c>
    </row>
    <row r="270" spans="1:3" x14ac:dyDescent="0.35">
      <c r="A270">
        <v>478.6300923</v>
      </c>
      <c r="B270">
        <v>10.6694</v>
      </c>
      <c r="C270">
        <v>10.667999999999999</v>
      </c>
    </row>
    <row r="271" spans="1:3" x14ac:dyDescent="0.35">
      <c r="A271">
        <v>489.77881939999997</v>
      </c>
      <c r="B271">
        <v>10.6694</v>
      </c>
      <c r="C271">
        <v>10.667999999999999</v>
      </c>
    </row>
    <row r="272" spans="1:3" x14ac:dyDescent="0.35">
      <c r="A272">
        <v>501.18723360000001</v>
      </c>
      <c r="B272">
        <v>10.6694</v>
      </c>
      <c r="C272">
        <v>10.667999999999999</v>
      </c>
    </row>
    <row r="273" spans="1:3" x14ac:dyDescent="0.35">
      <c r="A273">
        <v>512.86138400000004</v>
      </c>
      <c r="B273">
        <v>10.6694</v>
      </c>
      <c r="C273">
        <v>10.668100000000001</v>
      </c>
    </row>
    <row r="274" spans="1:3" x14ac:dyDescent="0.35">
      <c r="A274">
        <v>524.80746020000004</v>
      </c>
      <c r="B274">
        <v>10.6693</v>
      </c>
      <c r="C274">
        <v>10.668100000000001</v>
      </c>
    </row>
    <row r="275" spans="1:3" x14ac:dyDescent="0.35">
      <c r="A275">
        <v>537.03179639999996</v>
      </c>
      <c r="B275">
        <v>10.6693</v>
      </c>
      <c r="C275">
        <v>10.668100000000001</v>
      </c>
    </row>
    <row r="276" spans="1:3" x14ac:dyDescent="0.35">
      <c r="A276">
        <v>549.54087389999995</v>
      </c>
      <c r="B276">
        <v>10.6692</v>
      </c>
      <c r="C276">
        <v>10.668100000000001</v>
      </c>
    </row>
    <row r="277" spans="1:3" x14ac:dyDescent="0.35">
      <c r="A277">
        <v>562.34132520000003</v>
      </c>
      <c r="B277">
        <v>10.6692</v>
      </c>
      <c r="C277">
        <v>10.668100000000001</v>
      </c>
    </row>
    <row r="278" spans="1:3" x14ac:dyDescent="0.35">
      <c r="A278">
        <v>575.4399373</v>
      </c>
      <c r="B278">
        <v>10.6691</v>
      </c>
      <c r="C278">
        <v>10.668100000000001</v>
      </c>
    </row>
    <row r="279" spans="1:3" x14ac:dyDescent="0.35">
      <c r="A279">
        <v>588.84365539999999</v>
      </c>
      <c r="B279">
        <v>10.6691</v>
      </c>
      <c r="C279">
        <v>10.668100000000001</v>
      </c>
    </row>
    <row r="280" spans="1:3" x14ac:dyDescent="0.35">
      <c r="A280">
        <v>602.55958610000005</v>
      </c>
      <c r="B280">
        <v>10.669</v>
      </c>
      <c r="C280">
        <v>10.668100000000001</v>
      </c>
    </row>
    <row r="281" spans="1:3" x14ac:dyDescent="0.35">
      <c r="A281">
        <v>616.59500190000006</v>
      </c>
      <c r="B281">
        <v>10.668900000000001</v>
      </c>
      <c r="C281">
        <v>10.667999999999999</v>
      </c>
    </row>
    <row r="282" spans="1:3" x14ac:dyDescent="0.35">
      <c r="A282">
        <v>630.95734449999998</v>
      </c>
      <c r="B282">
        <v>10.668799999999999</v>
      </c>
      <c r="C282">
        <v>10.667999999999999</v>
      </c>
    </row>
    <row r="283" spans="1:3" x14ac:dyDescent="0.35">
      <c r="A283">
        <v>645.65422899999999</v>
      </c>
      <c r="B283">
        <v>10.668799999999999</v>
      </c>
      <c r="C283">
        <v>10.667899999999999</v>
      </c>
    </row>
    <row r="284" spans="1:3" x14ac:dyDescent="0.35">
      <c r="A284">
        <v>660.69344799999999</v>
      </c>
      <c r="B284">
        <v>10.668699999999999</v>
      </c>
      <c r="C284">
        <v>10.667899999999999</v>
      </c>
    </row>
    <row r="285" spans="1:3" x14ac:dyDescent="0.35">
      <c r="A285">
        <v>676.08297540000001</v>
      </c>
      <c r="B285">
        <v>10.6686</v>
      </c>
      <c r="C285">
        <v>10.6678</v>
      </c>
    </row>
    <row r="286" spans="1:3" x14ac:dyDescent="0.35">
      <c r="A286">
        <v>691.83097090000001</v>
      </c>
      <c r="B286">
        <v>10.6685</v>
      </c>
      <c r="C286">
        <v>10.6678</v>
      </c>
    </row>
    <row r="287" spans="1:3" x14ac:dyDescent="0.35">
      <c r="A287">
        <v>707.94578439999998</v>
      </c>
      <c r="B287">
        <v>10.6684</v>
      </c>
      <c r="C287">
        <v>10.6677</v>
      </c>
    </row>
    <row r="288" spans="1:3" x14ac:dyDescent="0.35">
      <c r="A288">
        <v>724.43596009999999</v>
      </c>
      <c r="B288">
        <v>10.668200000000001</v>
      </c>
      <c r="C288">
        <v>10.6676</v>
      </c>
    </row>
    <row r="289" spans="1:3" x14ac:dyDescent="0.35">
      <c r="A289">
        <v>741.31024130000003</v>
      </c>
      <c r="B289">
        <v>10.668100000000001</v>
      </c>
      <c r="C289">
        <v>10.6675</v>
      </c>
    </row>
    <row r="290" spans="1:3" x14ac:dyDescent="0.35">
      <c r="A290">
        <v>758.57757500000002</v>
      </c>
      <c r="B290">
        <v>10.667999999999999</v>
      </c>
      <c r="C290">
        <v>10.667400000000001</v>
      </c>
    </row>
    <row r="291" spans="1:3" x14ac:dyDescent="0.35">
      <c r="A291">
        <v>776.24711660000003</v>
      </c>
      <c r="B291">
        <v>10.667899999999999</v>
      </c>
      <c r="C291">
        <v>10.667299999999999</v>
      </c>
    </row>
    <row r="292" spans="1:3" x14ac:dyDescent="0.35">
      <c r="A292">
        <v>794.32823470000005</v>
      </c>
      <c r="B292">
        <v>10.6677</v>
      </c>
      <c r="C292">
        <v>10.667199999999999</v>
      </c>
    </row>
    <row r="293" spans="1:3" x14ac:dyDescent="0.35">
      <c r="A293">
        <v>812.83051620000003</v>
      </c>
      <c r="B293">
        <v>10.6676</v>
      </c>
      <c r="C293">
        <v>10.667</v>
      </c>
    </row>
    <row r="294" spans="1:3" x14ac:dyDescent="0.35">
      <c r="A294">
        <v>831.76377109999999</v>
      </c>
      <c r="B294">
        <v>10.667400000000001</v>
      </c>
      <c r="C294">
        <v>10.6669</v>
      </c>
    </row>
    <row r="295" spans="1:3" x14ac:dyDescent="0.35">
      <c r="A295">
        <v>851.13803819999998</v>
      </c>
      <c r="B295">
        <v>10.667199999999999</v>
      </c>
      <c r="C295">
        <v>10.6668</v>
      </c>
    </row>
    <row r="296" spans="1:3" x14ac:dyDescent="0.35">
      <c r="A296">
        <v>870.96358999999995</v>
      </c>
      <c r="B296">
        <v>10.667</v>
      </c>
      <c r="C296">
        <v>10.666600000000001</v>
      </c>
    </row>
    <row r="297" spans="1:3" x14ac:dyDescent="0.35">
      <c r="A297">
        <v>891.25093809999998</v>
      </c>
      <c r="B297">
        <v>10.6669</v>
      </c>
      <c r="C297">
        <v>10.666399999999999</v>
      </c>
    </row>
    <row r="298" spans="1:3" x14ac:dyDescent="0.35">
      <c r="A298">
        <v>912.01083940000001</v>
      </c>
      <c r="B298">
        <v>10.666700000000001</v>
      </c>
      <c r="C298">
        <v>10.6662</v>
      </c>
    </row>
    <row r="299" spans="1:3" x14ac:dyDescent="0.35">
      <c r="A299">
        <v>933.25430080000001</v>
      </c>
      <c r="B299">
        <v>10.666399999999999</v>
      </c>
      <c r="C299">
        <v>10.6661</v>
      </c>
    </row>
    <row r="300" spans="1:3" x14ac:dyDescent="0.35">
      <c r="A300">
        <v>954.99258599999996</v>
      </c>
      <c r="B300">
        <v>10.6662</v>
      </c>
      <c r="C300">
        <v>10.665800000000001</v>
      </c>
    </row>
    <row r="301" spans="1:3" x14ac:dyDescent="0.35">
      <c r="A301">
        <v>977.23722099999998</v>
      </c>
      <c r="B301">
        <v>10.666</v>
      </c>
      <c r="C301">
        <v>10.6656</v>
      </c>
    </row>
    <row r="302" spans="1:3" x14ac:dyDescent="0.35">
      <c r="A302">
        <v>1000</v>
      </c>
      <c r="B302">
        <v>10.665699999999999</v>
      </c>
      <c r="C302">
        <v>10.6654</v>
      </c>
    </row>
    <row r="303" spans="1:3" x14ac:dyDescent="0.35">
      <c r="A303">
        <v>1023.292992</v>
      </c>
      <c r="B303">
        <v>10.6655</v>
      </c>
      <c r="C303">
        <v>10.6652</v>
      </c>
    </row>
    <row r="304" spans="1:3" x14ac:dyDescent="0.35">
      <c r="A304">
        <v>1047.1285479999999</v>
      </c>
      <c r="B304">
        <v>10.6652</v>
      </c>
      <c r="C304">
        <v>10.664899999999999</v>
      </c>
    </row>
    <row r="305" spans="1:3" x14ac:dyDescent="0.35">
      <c r="A305">
        <v>1071.519305</v>
      </c>
      <c r="B305">
        <v>10.664899999999999</v>
      </c>
      <c r="C305">
        <v>10.6646</v>
      </c>
    </row>
    <row r="306" spans="1:3" x14ac:dyDescent="0.35">
      <c r="A306">
        <v>1096.478196</v>
      </c>
      <c r="B306">
        <v>10.6646</v>
      </c>
      <c r="C306">
        <v>10.664400000000001</v>
      </c>
    </row>
    <row r="307" spans="1:3" x14ac:dyDescent="0.35">
      <c r="A307">
        <v>1122.018454</v>
      </c>
      <c r="B307">
        <v>10.664300000000001</v>
      </c>
      <c r="C307">
        <v>10.664099999999999</v>
      </c>
    </row>
    <row r="308" spans="1:3" x14ac:dyDescent="0.35">
      <c r="A308">
        <v>1148.1536209999999</v>
      </c>
      <c r="B308">
        <v>10.664</v>
      </c>
      <c r="C308">
        <v>10.6637</v>
      </c>
    </row>
    <row r="309" spans="1:3" x14ac:dyDescent="0.35">
      <c r="A309">
        <v>1174.897555</v>
      </c>
      <c r="B309">
        <v>10.6637</v>
      </c>
      <c r="C309">
        <v>10.663399999999999</v>
      </c>
    </row>
    <row r="310" spans="1:3" x14ac:dyDescent="0.35">
      <c r="A310">
        <v>1202.264435</v>
      </c>
      <c r="B310">
        <v>10.6633</v>
      </c>
      <c r="C310">
        <v>10.6631</v>
      </c>
    </row>
    <row r="311" spans="1:3" x14ac:dyDescent="0.35">
      <c r="A311">
        <v>1230.268771</v>
      </c>
      <c r="B311">
        <v>10.6629</v>
      </c>
      <c r="C311">
        <v>10.662699999999999</v>
      </c>
    </row>
    <row r="312" spans="1:3" x14ac:dyDescent="0.35">
      <c r="A312">
        <v>1258.9254120000001</v>
      </c>
      <c r="B312">
        <v>10.6625</v>
      </c>
      <c r="C312">
        <v>10.6623</v>
      </c>
    </row>
    <row r="313" spans="1:3" x14ac:dyDescent="0.35">
      <c r="A313">
        <v>1288.249552</v>
      </c>
      <c r="B313">
        <v>10.662100000000001</v>
      </c>
      <c r="C313">
        <v>10.661899999999999</v>
      </c>
    </row>
    <row r="314" spans="1:3" x14ac:dyDescent="0.35">
      <c r="A314">
        <v>1318.2567389999999</v>
      </c>
      <c r="B314">
        <v>10.6617</v>
      </c>
      <c r="C314">
        <v>10.6615</v>
      </c>
    </row>
    <row r="315" spans="1:3" x14ac:dyDescent="0.35">
      <c r="A315">
        <v>1348.9628829999999</v>
      </c>
      <c r="B315">
        <v>10.661199999999999</v>
      </c>
      <c r="C315">
        <v>10.661</v>
      </c>
    </row>
    <row r="316" spans="1:3" x14ac:dyDescent="0.35">
      <c r="A316">
        <v>1380.3842649999999</v>
      </c>
      <c r="B316">
        <v>10.6607</v>
      </c>
      <c r="C316">
        <v>10.660600000000001</v>
      </c>
    </row>
    <row r="317" spans="1:3" x14ac:dyDescent="0.35">
      <c r="A317">
        <v>1412.5375449999999</v>
      </c>
      <c r="B317">
        <v>10.6602</v>
      </c>
      <c r="C317">
        <v>10.6601</v>
      </c>
    </row>
    <row r="318" spans="1:3" x14ac:dyDescent="0.35">
      <c r="A318">
        <v>1445.4397710000001</v>
      </c>
      <c r="B318">
        <v>10.659700000000001</v>
      </c>
      <c r="C318">
        <v>10.659599999999999</v>
      </c>
    </row>
    <row r="319" spans="1:3" x14ac:dyDescent="0.35">
      <c r="A319">
        <v>1479.1083880000001</v>
      </c>
      <c r="B319">
        <v>10.6592</v>
      </c>
      <c r="C319">
        <v>10.659000000000001</v>
      </c>
    </row>
    <row r="320" spans="1:3" x14ac:dyDescent="0.35">
      <c r="A320">
        <v>1513.561248</v>
      </c>
      <c r="B320">
        <v>10.6586</v>
      </c>
      <c r="C320">
        <v>10.6584</v>
      </c>
    </row>
    <row r="321" spans="1:3" x14ac:dyDescent="0.35">
      <c r="A321">
        <v>1548.8166189999999</v>
      </c>
      <c r="B321">
        <v>10.657999999999999</v>
      </c>
      <c r="C321">
        <v>10.6578</v>
      </c>
    </row>
    <row r="322" spans="1:3" x14ac:dyDescent="0.35">
      <c r="A322">
        <v>1584.893192</v>
      </c>
      <c r="B322">
        <v>10.657400000000001</v>
      </c>
      <c r="C322">
        <v>10.6572</v>
      </c>
    </row>
    <row r="323" spans="1:3" x14ac:dyDescent="0.35">
      <c r="A323">
        <v>1621.810097</v>
      </c>
      <c r="B323">
        <v>10.656700000000001</v>
      </c>
      <c r="C323">
        <v>10.656599999999999</v>
      </c>
    </row>
    <row r="324" spans="1:3" x14ac:dyDescent="0.35">
      <c r="A324">
        <v>1659.5869070000001</v>
      </c>
      <c r="B324">
        <v>10.656000000000001</v>
      </c>
      <c r="C324">
        <v>10.655900000000001</v>
      </c>
    </row>
    <row r="325" spans="1:3" x14ac:dyDescent="0.35">
      <c r="A325">
        <v>1698.2436520000001</v>
      </c>
      <c r="B325">
        <v>10.6553</v>
      </c>
      <c r="C325">
        <v>10.655200000000001</v>
      </c>
    </row>
    <row r="326" spans="1:3" x14ac:dyDescent="0.35">
      <c r="A326">
        <v>1737.800829</v>
      </c>
      <c r="B326">
        <v>10.654500000000001</v>
      </c>
      <c r="C326">
        <v>10.654400000000001</v>
      </c>
    </row>
    <row r="327" spans="1:3" x14ac:dyDescent="0.35">
      <c r="A327">
        <v>1778.2794100000001</v>
      </c>
      <c r="B327">
        <v>10.653700000000001</v>
      </c>
      <c r="C327">
        <v>10.653600000000001</v>
      </c>
    </row>
    <row r="328" spans="1:3" x14ac:dyDescent="0.35">
      <c r="A328">
        <v>1819.700859</v>
      </c>
      <c r="B328">
        <v>10.652900000000001</v>
      </c>
      <c r="C328">
        <v>10.652799999999999</v>
      </c>
    </row>
    <row r="329" spans="1:3" x14ac:dyDescent="0.35">
      <c r="A329">
        <v>1862.087137</v>
      </c>
      <c r="B329">
        <v>10.651999999999999</v>
      </c>
      <c r="C329">
        <v>10.651899999999999</v>
      </c>
    </row>
    <row r="330" spans="1:3" x14ac:dyDescent="0.35">
      <c r="A330">
        <v>1905.460718</v>
      </c>
      <c r="B330">
        <v>10.6511</v>
      </c>
      <c r="C330">
        <v>10.651</v>
      </c>
    </row>
    <row r="331" spans="1:3" x14ac:dyDescent="0.35">
      <c r="A331">
        <v>1949.8445999999999</v>
      </c>
      <c r="B331">
        <v>10.6501</v>
      </c>
      <c r="C331">
        <v>10.65</v>
      </c>
    </row>
    <row r="332" spans="1:3" x14ac:dyDescent="0.35">
      <c r="A332">
        <v>1995.2623149999999</v>
      </c>
      <c r="B332">
        <v>10.649100000000001</v>
      </c>
      <c r="C332">
        <v>10.648999999999999</v>
      </c>
    </row>
    <row r="333" spans="1:3" x14ac:dyDescent="0.35">
      <c r="A333">
        <v>2041.7379450000001</v>
      </c>
      <c r="B333">
        <v>10.648099999999999</v>
      </c>
      <c r="C333">
        <v>10.648</v>
      </c>
    </row>
    <row r="334" spans="1:3" x14ac:dyDescent="0.35">
      <c r="A334">
        <v>2089.2961310000001</v>
      </c>
      <c r="B334">
        <v>10.647</v>
      </c>
      <c r="C334">
        <v>10.6469</v>
      </c>
    </row>
    <row r="335" spans="1:3" x14ac:dyDescent="0.35">
      <c r="A335">
        <v>2137.96209</v>
      </c>
      <c r="B335">
        <v>10.645799999999999</v>
      </c>
      <c r="C335">
        <v>10.645799999999999</v>
      </c>
    </row>
    <row r="336" spans="1:3" x14ac:dyDescent="0.35">
      <c r="A336">
        <v>2187.7616240000002</v>
      </c>
      <c r="B336">
        <v>10.644600000000001</v>
      </c>
      <c r="C336">
        <v>10.644600000000001</v>
      </c>
    </row>
    <row r="337" spans="1:3" x14ac:dyDescent="0.35">
      <c r="A337">
        <v>2238.7211390000002</v>
      </c>
      <c r="B337">
        <v>10.6434</v>
      </c>
      <c r="C337">
        <v>10.6433</v>
      </c>
    </row>
    <row r="338" spans="1:3" x14ac:dyDescent="0.35">
      <c r="A338">
        <v>2290.8676529999998</v>
      </c>
      <c r="B338">
        <v>10.641999999999999</v>
      </c>
      <c r="C338">
        <v>10.641999999999999</v>
      </c>
    </row>
    <row r="339" spans="1:3" x14ac:dyDescent="0.35">
      <c r="A339">
        <v>2344.2288149999999</v>
      </c>
      <c r="B339">
        <v>10.640700000000001</v>
      </c>
      <c r="C339">
        <v>10.640599999999999</v>
      </c>
    </row>
    <row r="340" spans="1:3" x14ac:dyDescent="0.35">
      <c r="A340">
        <v>2398.8329189999999</v>
      </c>
      <c r="B340">
        <v>10.639200000000001</v>
      </c>
      <c r="C340">
        <v>10.639200000000001</v>
      </c>
    </row>
    <row r="341" spans="1:3" x14ac:dyDescent="0.35">
      <c r="A341">
        <v>2454.708916</v>
      </c>
      <c r="B341">
        <v>10.637700000000001</v>
      </c>
      <c r="C341">
        <v>10.637600000000001</v>
      </c>
    </row>
    <row r="342" spans="1:3" x14ac:dyDescent="0.35">
      <c r="A342">
        <v>2511.8864319999998</v>
      </c>
      <c r="B342">
        <v>10.636100000000001</v>
      </c>
      <c r="C342">
        <v>10.636100000000001</v>
      </c>
    </row>
    <row r="343" spans="1:3" x14ac:dyDescent="0.35">
      <c r="A343">
        <v>2570.3957829999999</v>
      </c>
      <c r="B343">
        <v>10.634399999999999</v>
      </c>
      <c r="C343">
        <v>10.634399999999999</v>
      </c>
    </row>
    <row r="344" spans="1:3" x14ac:dyDescent="0.35">
      <c r="A344">
        <v>2630.267992</v>
      </c>
      <c r="B344">
        <v>10.6327</v>
      </c>
      <c r="C344">
        <v>10.6327</v>
      </c>
    </row>
    <row r="345" spans="1:3" x14ac:dyDescent="0.35">
      <c r="A345">
        <v>2691.5348039999999</v>
      </c>
      <c r="B345">
        <v>10.6309</v>
      </c>
      <c r="C345">
        <v>10.630800000000001</v>
      </c>
    </row>
    <row r="346" spans="1:3" x14ac:dyDescent="0.35">
      <c r="A346">
        <v>2754.2287030000002</v>
      </c>
      <c r="B346">
        <v>10.629</v>
      </c>
      <c r="C346">
        <v>10.6289</v>
      </c>
    </row>
    <row r="347" spans="1:3" x14ac:dyDescent="0.35">
      <c r="A347">
        <v>2818.3829310000001</v>
      </c>
      <c r="B347">
        <v>10.627000000000001</v>
      </c>
      <c r="C347">
        <v>10.626899999999999</v>
      </c>
    </row>
    <row r="348" spans="1:3" x14ac:dyDescent="0.35">
      <c r="A348">
        <v>2884.0315030000002</v>
      </c>
      <c r="B348">
        <v>10.6249</v>
      </c>
      <c r="C348">
        <v>10.6249</v>
      </c>
    </row>
    <row r="349" spans="1:3" x14ac:dyDescent="0.35">
      <c r="A349">
        <v>2951.2092269999998</v>
      </c>
      <c r="B349">
        <v>10.6227</v>
      </c>
      <c r="C349">
        <v>10.6227</v>
      </c>
    </row>
    <row r="350" spans="1:3" x14ac:dyDescent="0.35">
      <c r="A350">
        <v>3019.95172</v>
      </c>
      <c r="B350">
        <v>10.6204</v>
      </c>
      <c r="C350">
        <v>10.6204</v>
      </c>
    </row>
    <row r="351" spans="1:3" x14ac:dyDescent="0.35">
      <c r="A351">
        <v>3090.2954329999998</v>
      </c>
      <c r="B351">
        <v>10.618</v>
      </c>
      <c r="C351">
        <v>10.618</v>
      </c>
    </row>
    <row r="352" spans="1:3" x14ac:dyDescent="0.35">
      <c r="A352">
        <v>3162.2776600000002</v>
      </c>
      <c r="B352">
        <v>10.615500000000001</v>
      </c>
      <c r="C352">
        <v>10.615500000000001</v>
      </c>
    </row>
    <row r="353" spans="1:3" x14ac:dyDescent="0.35">
      <c r="A353">
        <v>3235.936569</v>
      </c>
      <c r="B353">
        <v>10.6129</v>
      </c>
      <c r="C353">
        <v>10.6129</v>
      </c>
    </row>
    <row r="354" spans="1:3" x14ac:dyDescent="0.35">
      <c r="A354">
        <v>3311.3112150000002</v>
      </c>
      <c r="B354">
        <v>10.610200000000001</v>
      </c>
      <c r="C354">
        <v>10.610099999999999</v>
      </c>
    </row>
    <row r="355" spans="1:3" x14ac:dyDescent="0.35">
      <c r="A355">
        <v>3388.4415610000001</v>
      </c>
      <c r="B355">
        <v>10.6073</v>
      </c>
      <c r="C355">
        <v>10.6073</v>
      </c>
    </row>
    <row r="356" spans="1:3" x14ac:dyDescent="0.35">
      <c r="A356">
        <v>3467.3685049999999</v>
      </c>
      <c r="B356">
        <v>10.6043</v>
      </c>
      <c r="C356">
        <v>10.6043</v>
      </c>
    </row>
    <row r="357" spans="1:3" x14ac:dyDescent="0.35">
      <c r="A357">
        <v>3548.1338919999998</v>
      </c>
      <c r="B357">
        <v>10.601100000000001</v>
      </c>
      <c r="C357">
        <v>10.601100000000001</v>
      </c>
    </row>
    <row r="358" spans="1:3" x14ac:dyDescent="0.35">
      <c r="A358">
        <v>3630.7805480000002</v>
      </c>
      <c r="B358">
        <v>10.597899999999999</v>
      </c>
      <c r="C358">
        <v>10.597799999999999</v>
      </c>
    </row>
    <row r="359" spans="1:3" x14ac:dyDescent="0.35">
      <c r="A359">
        <v>3715.3522910000002</v>
      </c>
      <c r="B359">
        <v>10.5944</v>
      </c>
      <c r="C359">
        <v>10.5944</v>
      </c>
    </row>
    <row r="360" spans="1:3" x14ac:dyDescent="0.35">
      <c r="A360">
        <v>3801.893963</v>
      </c>
      <c r="B360">
        <v>10.5908</v>
      </c>
      <c r="C360">
        <v>10.5908</v>
      </c>
    </row>
    <row r="361" spans="1:3" x14ac:dyDescent="0.35">
      <c r="A361">
        <v>3890.45145</v>
      </c>
      <c r="B361">
        <v>10.587</v>
      </c>
      <c r="C361">
        <v>10.587</v>
      </c>
    </row>
    <row r="362" spans="1:3" x14ac:dyDescent="0.35">
      <c r="A362">
        <v>3981.0717060000002</v>
      </c>
      <c r="B362">
        <v>10.5831</v>
      </c>
      <c r="C362">
        <v>10.5831</v>
      </c>
    </row>
    <row r="363" spans="1:3" x14ac:dyDescent="0.35">
      <c r="A363">
        <v>4073.8027780000002</v>
      </c>
      <c r="B363">
        <v>10.579000000000001</v>
      </c>
      <c r="C363">
        <v>10.579000000000001</v>
      </c>
    </row>
    <row r="364" spans="1:3" x14ac:dyDescent="0.35">
      <c r="A364">
        <v>4168.693835</v>
      </c>
      <c r="B364">
        <v>10.5747</v>
      </c>
      <c r="C364">
        <v>10.5746</v>
      </c>
    </row>
    <row r="365" spans="1:3" x14ac:dyDescent="0.35">
      <c r="A365">
        <v>4265.7951880000001</v>
      </c>
      <c r="B365">
        <v>10.5701</v>
      </c>
      <c r="C365">
        <v>10.5701</v>
      </c>
    </row>
    <row r="366" spans="1:3" x14ac:dyDescent="0.35">
      <c r="A366">
        <v>4365.1583220000002</v>
      </c>
      <c r="B366">
        <v>10.5654</v>
      </c>
      <c r="C366">
        <v>10.5654</v>
      </c>
    </row>
    <row r="367" spans="1:3" x14ac:dyDescent="0.35">
      <c r="A367">
        <v>4466.8359220000002</v>
      </c>
      <c r="B367">
        <v>10.560499999999999</v>
      </c>
      <c r="C367">
        <v>10.560499999999999</v>
      </c>
    </row>
    <row r="368" spans="1:3" x14ac:dyDescent="0.35">
      <c r="A368">
        <v>4570.8818959999999</v>
      </c>
      <c r="B368">
        <v>10.555300000000001</v>
      </c>
      <c r="C368">
        <v>10.555300000000001</v>
      </c>
    </row>
    <row r="369" spans="1:3" x14ac:dyDescent="0.35">
      <c r="A369">
        <v>4677.3514130000003</v>
      </c>
      <c r="B369">
        <v>10.549899999999999</v>
      </c>
      <c r="C369">
        <v>10.549899999999999</v>
      </c>
    </row>
    <row r="370" spans="1:3" x14ac:dyDescent="0.35">
      <c r="A370">
        <v>4786.3009229999998</v>
      </c>
      <c r="B370">
        <v>10.5443</v>
      </c>
      <c r="C370">
        <v>10.5443</v>
      </c>
    </row>
    <row r="371" spans="1:3" x14ac:dyDescent="0.35">
      <c r="A371">
        <v>4897.7881939999997</v>
      </c>
      <c r="B371">
        <v>10.538399999999999</v>
      </c>
      <c r="C371">
        <v>10.5383</v>
      </c>
    </row>
    <row r="372" spans="1:3" x14ac:dyDescent="0.35">
      <c r="A372">
        <v>5011.8723360000004</v>
      </c>
      <c r="B372">
        <v>10.5322</v>
      </c>
      <c r="C372">
        <v>10.5322</v>
      </c>
    </row>
    <row r="373" spans="1:3" x14ac:dyDescent="0.35">
      <c r="A373">
        <v>5128.61384</v>
      </c>
      <c r="B373">
        <v>10.525700000000001</v>
      </c>
      <c r="C373">
        <v>10.525700000000001</v>
      </c>
    </row>
    <row r="374" spans="1:3" x14ac:dyDescent="0.35">
      <c r="A374">
        <v>5248.0746019999997</v>
      </c>
      <c r="B374">
        <v>10.519</v>
      </c>
      <c r="C374">
        <v>10.519</v>
      </c>
    </row>
    <row r="375" spans="1:3" x14ac:dyDescent="0.35">
      <c r="A375">
        <v>5370.3179639999998</v>
      </c>
      <c r="B375">
        <v>10.511900000000001</v>
      </c>
      <c r="C375">
        <v>10.511900000000001</v>
      </c>
    </row>
    <row r="376" spans="1:3" x14ac:dyDescent="0.35">
      <c r="A376">
        <v>5495.4087390000004</v>
      </c>
      <c r="B376">
        <v>10.5045</v>
      </c>
      <c r="C376">
        <v>10.5045</v>
      </c>
    </row>
    <row r="377" spans="1:3" x14ac:dyDescent="0.35">
      <c r="A377">
        <v>5623.4132520000003</v>
      </c>
      <c r="B377">
        <v>10.4968</v>
      </c>
      <c r="C377">
        <v>10.4968</v>
      </c>
    </row>
    <row r="378" spans="1:3" x14ac:dyDescent="0.35">
      <c r="A378">
        <v>5754.3993730000002</v>
      </c>
      <c r="B378">
        <v>10.4887</v>
      </c>
      <c r="C378">
        <v>10.4887</v>
      </c>
    </row>
    <row r="379" spans="1:3" x14ac:dyDescent="0.35">
      <c r="A379">
        <v>5888.4365539999999</v>
      </c>
      <c r="B379">
        <v>10.4803</v>
      </c>
      <c r="C379">
        <v>10.4803</v>
      </c>
    </row>
    <row r="380" spans="1:3" x14ac:dyDescent="0.35">
      <c r="A380">
        <v>6025.5958609999998</v>
      </c>
      <c r="B380">
        <v>10.471500000000001</v>
      </c>
      <c r="C380">
        <v>10.471500000000001</v>
      </c>
    </row>
    <row r="381" spans="1:3" x14ac:dyDescent="0.35">
      <c r="A381">
        <v>6165.9500189999999</v>
      </c>
      <c r="B381">
        <v>10.462300000000001</v>
      </c>
      <c r="C381">
        <v>10.462300000000001</v>
      </c>
    </row>
    <row r="382" spans="1:3" x14ac:dyDescent="0.35">
      <c r="A382">
        <v>6309.573445</v>
      </c>
      <c r="B382">
        <v>10.4527</v>
      </c>
      <c r="C382">
        <v>10.4527</v>
      </c>
    </row>
    <row r="383" spans="1:3" x14ac:dyDescent="0.35">
      <c r="A383">
        <v>6456.5422900000003</v>
      </c>
      <c r="B383">
        <v>10.442600000000001</v>
      </c>
      <c r="C383">
        <v>10.442600000000001</v>
      </c>
    </row>
    <row r="384" spans="1:3" x14ac:dyDescent="0.35">
      <c r="A384">
        <v>6606.9344799999999</v>
      </c>
      <c r="B384">
        <v>10.4321</v>
      </c>
      <c r="C384">
        <v>10.4321</v>
      </c>
    </row>
    <row r="385" spans="1:3" x14ac:dyDescent="0.35">
      <c r="A385">
        <v>6760.8297540000003</v>
      </c>
      <c r="B385">
        <v>10.421200000000001</v>
      </c>
      <c r="C385">
        <v>10.421200000000001</v>
      </c>
    </row>
    <row r="386" spans="1:3" x14ac:dyDescent="0.35">
      <c r="A386">
        <v>6918.3097090000001</v>
      </c>
      <c r="B386">
        <v>10.409700000000001</v>
      </c>
      <c r="C386">
        <v>10.409700000000001</v>
      </c>
    </row>
    <row r="387" spans="1:3" x14ac:dyDescent="0.35">
      <c r="A387">
        <v>7079.4578439999996</v>
      </c>
      <c r="B387">
        <v>10.3978</v>
      </c>
      <c r="C387">
        <v>10.3978</v>
      </c>
    </row>
    <row r="388" spans="1:3" x14ac:dyDescent="0.35">
      <c r="A388">
        <v>7244.3596010000001</v>
      </c>
      <c r="B388">
        <v>10.385300000000001</v>
      </c>
      <c r="C388">
        <v>10.385300000000001</v>
      </c>
    </row>
    <row r="389" spans="1:3" x14ac:dyDescent="0.35">
      <c r="A389">
        <v>7413.1024129999996</v>
      </c>
      <c r="B389">
        <v>10.372199999999999</v>
      </c>
      <c r="C389">
        <v>10.372199999999999</v>
      </c>
    </row>
    <row r="390" spans="1:3" x14ac:dyDescent="0.35">
      <c r="A390">
        <v>7585.7757499999998</v>
      </c>
      <c r="B390">
        <v>10.358599999999999</v>
      </c>
      <c r="C390">
        <v>10.358599999999999</v>
      </c>
    </row>
    <row r="391" spans="1:3" x14ac:dyDescent="0.35">
      <c r="A391">
        <v>7762.4711660000003</v>
      </c>
      <c r="B391">
        <v>10.3444</v>
      </c>
      <c r="C391">
        <v>10.3444</v>
      </c>
    </row>
    <row r="392" spans="1:3" x14ac:dyDescent="0.35">
      <c r="A392">
        <v>7943.2823470000003</v>
      </c>
      <c r="B392">
        <v>10.329599999999999</v>
      </c>
      <c r="C392">
        <v>10.329599999999999</v>
      </c>
    </row>
    <row r="393" spans="1:3" x14ac:dyDescent="0.35">
      <c r="A393">
        <v>8128.3051619999997</v>
      </c>
      <c r="B393">
        <v>10.3141</v>
      </c>
      <c r="C393">
        <v>10.3141</v>
      </c>
    </row>
    <row r="394" spans="1:3" x14ac:dyDescent="0.35">
      <c r="A394">
        <v>8317.6377109999994</v>
      </c>
      <c r="B394">
        <v>10.298</v>
      </c>
      <c r="C394">
        <v>10.298</v>
      </c>
    </row>
    <row r="395" spans="1:3" x14ac:dyDescent="0.35">
      <c r="A395">
        <v>8511.3803819999994</v>
      </c>
      <c r="B395">
        <v>10.2812</v>
      </c>
      <c r="C395">
        <v>10.2812</v>
      </c>
    </row>
    <row r="396" spans="1:3" x14ac:dyDescent="0.35">
      <c r="A396">
        <v>8709.6358999999993</v>
      </c>
      <c r="B396">
        <v>10.2636</v>
      </c>
      <c r="C396">
        <v>10.2636</v>
      </c>
    </row>
    <row r="397" spans="1:3" x14ac:dyDescent="0.35">
      <c r="A397">
        <v>8912.5093809999998</v>
      </c>
      <c r="B397">
        <v>10.2453</v>
      </c>
      <c r="C397">
        <v>10.2453</v>
      </c>
    </row>
    <row r="398" spans="1:3" x14ac:dyDescent="0.35">
      <c r="A398">
        <v>9120.1083940000008</v>
      </c>
      <c r="B398">
        <v>10.2262</v>
      </c>
      <c r="C398">
        <v>10.2262</v>
      </c>
    </row>
    <row r="399" spans="1:3" x14ac:dyDescent="0.35">
      <c r="A399">
        <v>9332.5430080000006</v>
      </c>
      <c r="B399">
        <v>10.206300000000001</v>
      </c>
      <c r="C399">
        <v>10.206300000000001</v>
      </c>
    </row>
    <row r="400" spans="1:3" x14ac:dyDescent="0.35">
      <c r="A400">
        <v>9549.9258599999994</v>
      </c>
      <c r="B400">
        <v>10.185499999999999</v>
      </c>
      <c r="C400">
        <v>10.185499999999999</v>
      </c>
    </row>
    <row r="401" spans="1:3" x14ac:dyDescent="0.35">
      <c r="A401">
        <v>9772.3722099999995</v>
      </c>
      <c r="B401">
        <v>10.1639</v>
      </c>
      <c r="C401">
        <v>10.1639</v>
      </c>
    </row>
    <row r="402" spans="1:3" x14ac:dyDescent="0.35">
      <c r="A402">
        <v>10000</v>
      </c>
      <c r="B402">
        <v>10.141400000000001</v>
      </c>
      <c r="C402">
        <v>10.141400000000001</v>
      </c>
    </row>
    <row r="403" spans="1:3" x14ac:dyDescent="0.35">
      <c r="A403">
        <v>10232.92992</v>
      </c>
      <c r="B403">
        <v>10.117900000000001</v>
      </c>
      <c r="C403">
        <v>10.117900000000001</v>
      </c>
    </row>
    <row r="404" spans="1:3" x14ac:dyDescent="0.35">
      <c r="A404">
        <v>10471.28548</v>
      </c>
      <c r="B404">
        <v>10.093500000000001</v>
      </c>
      <c r="C404">
        <v>10.093500000000001</v>
      </c>
    </row>
    <row r="405" spans="1:3" x14ac:dyDescent="0.35">
      <c r="A405">
        <v>10715.19305</v>
      </c>
      <c r="B405">
        <v>10.068099999999999</v>
      </c>
      <c r="C405">
        <v>10.068099999999999</v>
      </c>
    </row>
    <row r="406" spans="1:3" x14ac:dyDescent="0.35">
      <c r="A406">
        <v>10964.78196</v>
      </c>
      <c r="B406">
        <v>10.041600000000001</v>
      </c>
      <c r="C406">
        <v>10.041600000000001</v>
      </c>
    </row>
    <row r="407" spans="1:3" x14ac:dyDescent="0.35">
      <c r="A407">
        <v>11220.18454</v>
      </c>
      <c r="B407">
        <v>10.014099999999999</v>
      </c>
      <c r="C407">
        <v>10.014099999999999</v>
      </c>
    </row>
    <row r="408" spans="1:3" x14ac:dyDescent="0.35">
      <c r="A408">
        <v>11481.53621</v>
      </c>
      <c r="B408">
        <v>9.9854000000000003</v>
      </c>
      <c r="C408">
        <v>9.9853900000000007</v>
      </c>
    </row>
    <row r="409" spans="1:3" x14ac:dyDescent="0.35">
      <c r="A409">
        <v>11748.975549999999</v>
      </c>
      <c r="B409">
        <v>9.9555799999999994</v>
      </c>
      <c r="C409">
        <v>9.9555799999999994</v>
      </c>
    </row>
    <row r="410" spans="1:3" x14ac:dyDescent="0.35">
      <c r="A410">
        <v>12022.64435</v>
      </c>
      <c r="B410">
        <v>9.9245800000000006</v>
      </c>
      <c r="C410">
        <v>9.9245800000000006</v>
      </c>
    </row>
    <row r="411" spans="1:3" x14ac:dyDescent="0.35">
      <c r="A411">
        <v>12302.68771</v>
      </c>
      <c r="B411">
        <v>9.89236</v>
      </c>
      <c r="C411">
        <v>9.89236</v>
      </c>
    </row>
    <row r="412" spans="1:3" x14ac:dyDescent="0.35">
      <c r="A412">
        <v>12589.25412</v>
      </c>
      <c r="B412">
        <v>9.8588699999999996</v>
      </c>
      <c r="C412">
        <v>9.8588699999999996</v>
      </c>
    </row>
    <row r="413" spans="1:3" x14ac:dyDescent="0.35">
      <c r="A413">
        <v>12882.49552</v>
      </c>
      <c r="B413">
        <v>9.8240800000000004</v>
      </c>
      <c r="C413">
        <v>9.8240800000000004</v>
      </c>
    </row>
    <row r="414" spans="1:3" x14ac:dyDescent="0.35">
      <c r="A414">
        <v>13182.56739</v>
      </c>
      <c r="B414">
        <v>9.7879400000000008</v>
      </c>
      <c r="C414">
        <v>9.7879400000000008</v>
      </c>
    </row>
    <row r="415" spans="1:3" x14ac:dyDescent="0.35">
      <c r="A415">
        <v>13489.62883</v>
      </c>
      <c r="B415">
        <v>9.7504200000000001</v>
      </c>
      <c r="C415">
        <v>9.7504200000000001</v>
      </c>
    </row>
    <row r="416" spans="1:3" x14ac:dyDescent="0.35">
      <c r="A416">
        <v>13803.842650000001</v>
      </c>
      <c r="B416">
        <v>9.7114799999999999</v>
      </c>
      <c r="C416">
        <v>9.7114700000000003</v>
      </c>
    </row>
    <row r="417" spans="1:3" x14ac:dyDescent="0.35">
      <c r="A417">
        <v>14125.37545</v>
      </c>
      <c r="B417">
        <v>9.6710700000000003</v>
      </c>
      <c r="C417">
        <v>9.6710600000000007</v>
      </c>
    </row>
    <row r="418" spans="1:3" x14ac:dyDescent="0.35">
      <c r="A418">
        <v>14454.397709999999</v>
      </c>
      <c r="B418">
        <v>9.6291499999999992</v>
      </c>
      <c r="C418">
        <v>9.6291499999999992</v>
      </c>
    </row>
    <row r="419" spans="1:3" x14ac:dyDescent="0.35">
      <c r="A419">
        <v>14791.08388</v>
      </c>
      <c r="B419">
        <v>9.5856899999999996</v>
      </c>
      <c r="C419">
        <v>9.5856899999999996</v>
      </c>
    </row>
    <row r="420" spans="1:3" x14ac:dyDescent="0.35">
      <c r="A420">
        <v>15135.61248</v>
      </c>
      <c r="B420">
        <v>9.5406399999999998</v>
      </c>
      <c r="C420">
        <v>9.5406399999999998</v>
      </c>
    </row>
    <row r="421" spans="1:3" x14ac:dyDescent="0.35">
      <c r="A421">
        <v>15488.16619</v>
      </c>
      <c r="B421">
        <v>9.4939699999999991</v>
      </c>
      <c r="C421">
        <v>9.4939599999999995</v>
      </c>
    </row>
    <row r="422" spans="1:3" x14ac:dyDescent="0.35">
      <c r="A422">
        <v>15848.931920000001</v>
      </c>
      <c r="B422">
        <v>9.4456199999999999</v>
      </c>
      <c r="C422">
        <v>9.4456199999999999</v>
      </c>
    </row>
    <row r="423" spans="1:3" x14ac:dyDescent="0.35">
      <c r="A423">
        <v>16218.10097</v>
      </c>
      <c r="B423">
        <v>9.3955699999999993</v>
      </c>
      <c r="C423">
        <v>9.3955699999999993</v>
      </c>
    </row>
    <row r="424" spans="1:3" x14ac:dyDescent="0.35">
      <c r="A424">
        <v>16595.869070000001</v>
      </c>
      <c r="B424">
        <v>9.3437699999999992</v>
      </c>
      <c r="C424">
        <v>9.3437699999999992</v>
      </c>
    </row>
    <row r="425" spans="1:3" x14ac:dyDescent="0.35">
      <c r="A425">
        <v>16982.436519999999</v>
      </c>
      <c r="B425">
        <v>9.2901799999999994</v>
      </c>
      <c r="C425">
        <v>9.2901799999999994</v>
      </c>
    </row>
    <row r="426" spans="1:3" x14ac:dyDescent="0.35">
      <c r="A426">
        <v>17378.008290000002</v>
      </c>
      <c r="B426">
        <v>9.2347599999999996</v>
      </c>
      <c r="C426">
        <v>9.2347599999999996</v>
      </c>
    </row>
    <row r="427" spans="1:3" x14ac:dyDescent="0.35">
      <c r="A427">
        <v>17782.794099999999</v>
      </c>
      <c r="B427">
        <v>9.1774799999999992</v>
      </c>
      <c r="C427">
        <v>9.1774799999999992</v>
      </c>
    </row>
    <row r="428" spans="1:3" x14ac:dyDescent="0.35">
      <c r="A428">
        <v>18197.008590000001</v>
      </c>
      <c r="B428">
        <v>9.1182999999999996</v>
      </c>
      <c r="C428">
        <v>9.1182999999999996</v>
      </c>
    </row>
    <row r="429" spans="1:3" x14ac:dyDescent="0.35">
      <c r="A429">
        <v>18620.871370000001</v>
      </c>
      <c r="B429">
        <v>9.0571900000000003</v>
      </c>
      <c r="C429">
        <v>9.0571800000000007</v>
      </c>
    </row>
    <row r="430" spans="1:3" x14ac:dyDescent="0.35">
      <c r="A430">
        <v>19054.607179999999</v>
      </c>
      <c r="B430">
        <v>8.9940999999999995</v>
      </c>
      <c r="C430">
        <v>8.9940899999999999</v>
      </c>
    </row>
    <row r="431" spans="1:3" x14ac:dyDescent="0.35">
      <c r="A431">
        <v>19498.446</v>
      </c>
      <c r="B431">
        <v>8.9290000000000003</v>
      </c>
      <c r="C431">
        <v>8.9290000000000003</v>
      </c>
    </row>
    <row r="432" spans="1:3" x14ac:dyDescent="0.35">
      <c r="A432">
        <v>19952.623149999999</v>
      </c>
      <c r="B432">
        <v>8.8618600000000001</v>
      </c>
      <c r="C432">
        <v>8.8618600000000001</v>
      </c>
    </row>
    <row r="433" spans="1:3" x14ac:dyDescent="0.35">
      <c r="A433">
        <v>20417.37945</v>
      </c>
      <c r="B433">
        <v>8.7926599999999997</v>
      </c>
      <c r="C433">
        <v>8.7926599999999997</v>
      </c>
    </row>
    <row r="434" spans="1:3" x14ac:dyDescent="0.35">
      <c r="A434">
        <v>20892.961309999999</v>
      </c>
      <c r="B434">
        <v>8.7213499999999993</v>
      </c>
      <c r="C434">
        <v>8.7213499999999993</v>
      </c>
    </row>
    <row r="435" spans="1:3" x14ac:dyDescent="0.35">
      <c r="A435">
        <v>21379.620900000002</v>
      </c>
      <c r="B435">
        <v>8.6479199999999992</v>
      </c>
      <c r="C435">
        <v>8.6479199999999992</v>
      </c>
    </row>
    <row r="436" spans="1:3" x14ac:dyDescent="0.35">
      <c r="A436">
        <v>21877.616239999999</v>
      </c>
      <c r="B436">
        <v>8.5723400000000005</v>
      </c>
      <c r="C436">
        <v>8.5723400000000005</v>
      </c>
    </row>
    <row r="437" spans="1:3" x14ac:dyDescent="0.35">
      <c r="A437">
        <v>22387.21139</v>
      </c>
      <c r="B437">
        <v>8.4945699999999995</v>
      </c>
      <c r="C437">
        <v>8.4945699999999995</v>
      </c>
    </row>
    <row r="438" spans="1:3" x14ac:dyDescent="0.35">
      <c r="A438">
        <v>22908.676530000001</v>
      </c>
      <c r="B438">
        <v>8.4146099999999997</v>
      </c>
      <c r="C438">
        <v>8.4146099999999997</v>
      </c>
    </row>
    <row r="439" spans="1:3" x14ac:dyDescent="0.35">
      <c r="A439">
        <v>23442.28815</v>
      </c>
      <c r="B439">
        <v>8.3324200000000008</v>
      </c>
      <c r="C439">
        <v>8.3324200000000008</v>
      </c>
    </row>
    <row r="440" spans="1:3" x14ac:dyDescent="0.35">
      <c r="A440">
        <v>23988.32919</v>
      </c>
      <c r="B440">
        <v>8.2479999999999993</v>
      </c>
      <c r="C440">
        <v>8.2479999999999993</v>
      </c>
    </row>
    <row r="441" spans="1:3" x14ac:dyDescent="0.35">
      <c r="A441">
        <v>24547.08916</v>
      </c>
      <c r="B441">
        <v>8.1613199999999999</v>
      </c>
      <c r="C441">
        <v>8.1613100000000003</v>
      </c>
    </row>
    <row r="442" spans="1:3" x14ac:dyDescent="0.35">
      <c r="A442">
        <v>25118.864320000001</v>
      </c>
      <c r="B442">
        <v>8.0723599999999998</v>
      </c>
      <c r="C442">
        <v>8.0723599999999998</v>
      </c>
    </row>
    <row r="443" spans="1:3" x14ac:dyDescent="0.35">
      <c r="A443">
        <v>25703.957829999999</v>
      </c>
      <c r="B443">
        <v>7.9811300000000003</v>
      </c>
      <c r="C443">
        <v>7.9811300000000003</v>
      </c>
    </row>
    <row r="444" spans="1:3" x14ac:dyDescent="0.35">
      <c r="A444">
        <v>26302.679919999999</v>
      </c>
      <c r="B444">
        <v>7.8876099999999996</v>
      </c>
      <c r="C444">
        <v>7.8876099999999996</v>
      </c>
    </row>
    <row r="445" spans="1:3" x14ac:dyDescent="0.35">
      <c r="A445">
        <v>26915.348040000001</v>
      </c>
      <c r="B445">
        <v>7.7917899999999998</v>
      </c>
      <c r="C445">
        <v>7.7917899999999998</v>
      </c>
    </row>
    <row r="446" spans="1:3" x14ac:dyDescent="0.35">
      <c r="A446">
        <v>27542.28703</v>
      </c>
      <c r="B446">
        <v>7.6936600000000004</v>
      </c>
      <c r="C446">
        <v>7.6936600000000004</v>
      </c>
    </row>
    <row r="447" spans="1:3" x14ac:dyDescent="0.35">
      <c r="A447">
        <v>28183.829310000001</v>
      </c>
      <c r="B447">
        <v>7.5932399999999998</v>
      </c>
      <c r="C447">
        <v>7.5932399999999998</v>
      </c>
    </row>
    <row r="448" spans="1:3" x14ac:dyDescent="0.35">
      <c r="A448">
        <v>28840.315030000002</v>
      </c>
      <c r="B448">
        <v>7.4904999999999999</v>
      </c>
      <c r="C448">
        <v>7.4904999999999999</v>
      </c>
    </row>
    <row r="449" spans="1:3" x14ac:dyDescent="0.35">
      <c r="A449">
        <v>29512.092270000001</v>
      </c>
      <c r="B449">
        <v>7.3854699999999998</v>
      </c>
      <c r="C449">
        <v>7.3854699999999998</v>
      </c>
    </row>
    <row r="450" spans="1:3" x14ac:dyDescent="0.35">
      <c r="A450">
        <v>30199.517199999998</v>
      </c>
      <c r="B450">
        <v>7.2781399999999996</v>
      </c>
      <c r="C450">
        <v>7.2781399999999996</v>
      </c>
    </row>
    <row r="451" spans="1:3" x14ac:dyDescent="0.35">
      <c r="A451">
        <v>30902.95433</v>
      </c>
      <c r="B451">
        <v>7.16852</v>
      </c>
      <c r="C451">
        <v>7.16852</v>
      </c>
    </row>
    <row r="452" spans="1:3" x14ac:dyDescent="0.35">
      <c r="A452">
        <v>31622.776600000001</v>
      </c>
      <c r="B452">
        <v>7.0566300000000002</v>
      </c>
      <c r="C452">
        <v>7.0566199999999997</v>
      </c>
    </row>
    <row r="453" spans="1:3" x14ac:dyDescent="0.35">
      <c r="A453">
        <v>32359.365689999999</v>
      </c>
      <c r="B453">
        <v>6.9424599999999996</v>
      </c>
      <c r="C453">
        <v>6.9424599999999996</v>
      </c>
    </row>
    <row r="454" spans="1:3" x14ac:dyDescent="0.35">
      <c r="A454">
        <v>33113.112150000001</v>
      </c>
      <c r="B454">
        <v>6.8260500000000004</v>
      </c>
      <c r="C454">
        <v>6.8260399999999999</v>
      </c>
    </row>
    <row r="455" spans="1:3" x14ac:dyDescent="0.35">
      <c r="A455">
        <v>33884.415609999996</v>
      </c>
      <c r="B455">
        <v>6.7073900000000002</v>
      </c>
      <c r="C455">
        <v>6.7073900000000002</v>
      </c>
    </row>
    <row r="456" spans="1:3" x14ac:dyDescent="0.35">
      <c r="A456">
        <v>34673.68505</v>
      </c>
      <c r="B456">
        <v>6.5865299999999998</v>
      </c>
      <c r="C456">
        <v>6.5865200000000002</v>
      </c>
    </row>
    <row r="457" spans="1:3" x14ac:dyDescent="0.35">
      <c r="A457">
        <v>35481.338920000002</v>
      </c>
      <c r="B457">
        <v>6.4634600000000004</v>
      </c>
      <c r="C457">
        <v>6.4634600000000004</v>
      </c>
    </row>
    <row r="458" spans="1:3" x14ac:dyDescent="0.35">
      <c r="A458">
        <v>36307.805480000003</v>
      </c>
      <c r="B458">
        <v>6.3382199999999997</v>
      </c>
      <c r="C458">
        <v>6.3382199999999997</v>
      </c>
    </row>
    <row r="459" spans="1:3" x14ac:dyDescent="0.35">
      <c r="A459">
        <v>37153.52291</v>
      </c>
      <c r="B459">
        <v>6.2108400000000001</v>
      </c>
      <c r="C459">
        <v>6.2108400000000001</v>
      </c>
    </row>
    <row r="460" spans="1:3" x14ac:dyDescent="0.35">
      <c r="A460">
        <v>38018.939630000001</v>
      </c>
      <c r="B460">
        <v>6.0813300000000003</v>
      </c>
      <c r="C460">
        <v>6.0813300000000003</v>
      </c>
    </row>
    <row r="461" spans="1:3" x14ac:dyDescent="0.35">
      <c r="A461">
        <v>38904.514499999997</v>
      </c>
      <c r="B461">
        <v>5.9497400000000003</v>
      </c>
      <c r="C461">
        <v>5.9497400000000003</v>
      </c>
    </row>
    <row r="462" spans="1:3" x14ac:dyDescent="0.35">
      <c r="A462">
        <v>39810.717060000003</v>
      </c>
      <c r="B462">
        <v>5.8160699999999999</v>
      </c>
      <c r="C462">
        <v>5.8160699999999999</v>
      </c>
    </row>
    <row r="463" spans="1:3" x14ac:dyDescent="0.35">
      <c r="A463">
        <v>40738.027779999997</v>
      </c>
      <c r="B463">
        <v>5.6803800000000004</v>
      </c>
      <c r="C463">
        <v>5.6803800000000004</v>
      </c>
    </row>
    <row r="464" spans="1:3" x14ac:dyDescent="0.35">
      <c r="A464">
        <v>41686.938349999997</v>
      </c>
      <c r="B464">
        <v>5.5426900000000003</v>
      </c>
      <c r="C464">
        <v>5.5426900000000003</v>
      </c>
    </row>
    <row r="465" spans="1:3" x14ac:dyDescent="0.35">
      <c r="A465">
        <v>42657.951880000001</v>
      </c>
      <c r="B465">
        <v>5.4030300000000002</v>
      </c>
      <c r="C465">
        <v>5.4030300000000002</v>
      </c>
    </row>
    <row r="466" spans="1:3" x14ac:dyDescent="0.35">
      <c r="A466">
        <v>43651.58322</v>
      </c>
      <c r="B466">
        <v>5.2614400000000003</v>
      </c>
      <c r="C466">
        <v>5.2614400000000003</v>
      </c>
    </row>
    <row r="467" spans="1:3" x14ac:dyDescent="0.35">
      <c r="A467">
        <v>44668.359219999998</v>
      </c>
      <c r="B467">
        <v>5.1179600000000001</v>
      </c>
      <c r="C467">
        <v>5.1179600000000001</v>
      </c>
    </row>
    <row r="468" spans="1:3" x14ac:dyDescent="0.35">
      <c r="A468">
        <v>45708.818959999997</v>
      </c>
      <c r="B468">
        <v>4.97262</v>
      </c>
      <c r="C468">
        <v>4.97262</v>
      </c>
    </row>
    <row r="469" spans="1:3" x14ac:dyDescent="0.35">
      <c r="A469">
        <v>46773.514130000003</v>
      </c>
      <c r="B469">
        <v>4.8254599999999996</v>
      </c>
      <c r="C469">
        <v>4.8254599999999996</v>
      </c>
    </row>
    <row r="470" spans="1:3" x14ac:dyDescent="0.35">
      <c r="A470">
        <v>47863.009230000003</v>
      </c>
      <c r="B470">
        <v>4.6765299999999996</v>
      </c>
      <c r="C470">
        <v>4.6765299999999996</v>
      </c>
    </row>
    <row r="471" spans="1:3" x14ac:dyDescent="0.35">
      <c r="A471">
        <v>48977.881939999999</v>
      </c>
      <c r="B471">
        <v>4.5258500000000002</v>
      </c>
      <c r="C471">
        <v>4.5258500000000002</v>
      </c>
    </row>
    <row r="472" spans="1:3" x14ac:dyDescent="0.35">
      <c r="A472">
        <v>50118.723360000004</v>
      </c>
      <c r="B472">
        <v>4.3734700000000002</v>
      </c>
      <c r="C472">
        <v>4.3734700000000002</v>
      </c>
    </row>
    <row r="473" spans="1:3" x14ac:dyDescent="0.35">
      <c r="A473">
        <v>51286.138400000003</v>
      </c>
      <c r="B473">
        <v>4.2194200000000004</v>
      </c>
      <c r="C473">
        <v>4.2194200000000004</v>
      </c>
    </row>
    <row r="474" spans="1:3" x14ac:dyDescent="0.35">
      <c r="A474">
        <v>52480.746019999999</v>
      </c>
      <c r="B474">
        <v>4.0637600000000003</v>
      </c>
      <c r="C474">
        <v>4.0637600000000003</v>
      </c>
    </row>
    <row r="475" spans="1:3" x14ac:dyDescent="0.35">
      <c r="A475">
        <v>53703.179640000002</v>
      </c>
      <c r="B475">
        <v>3.9065099999999999</v>
      </c>
      <c r="C475">
        <v>3.9065099999999999</v>
      </c>
    </row>
    <row r="476" spans="1:3" x14ac:dyDescent="0.35">
      <c r="A476">
        <v>54954.087390000001</v>
      </c>
      <c r="B476">
        <v>3.7477299999999998</v>
      </c>
      <c r="C476">
        <v>3.7477299999999998</v>
      </c>
    </row>
    <row r="477" spans="1:3" x14ac:dyDescent="0.35">
      <c r="A477">
        <v>56234.132519999999</v>
      </c>
      <c r="B477">
        <v>3.58744</v>
      </c>
      <c r="C477">
        <v>3.58744</v>
      </c>
    </row>
    <row r="478" spans="1:3" x14ac:dyDescent="0.35">
      <c r="A478">
        <v>57543.993730000002</v>
      </c>
      <c r="B478">
        <v>3.4256899999999999</v>
      </c>
      <c r="C478">
        <v>3.4256899999999999</v>
      </c>
    </row>
    <row r="479" spans="1:3" x14ac:dyDescent="0.35">
      <c r="A479">
        <v>58884.365539999999</v>
      </c>
      <c r="B479">
        <v>3.2625299999999999</v>
      </c>
      <c r="C479">
        <v>3.2625299999999999</v>
      </c>
    </row>
    <row r="480" spans="1:3" x14ac:dyDescent="0.35">
      <c r="A480">
        <v>60255.958610000001</v>
      </c>
      <c r="B480">
        <v>3.0979800000000002</v>
      </c>
      <c r="C480">
        <v>3.0979800000000002</v>
      </c>
    </row>
    <row r="481" spans="1:3" x14ac:dyDescent="0.35">
      <c r="A481">
        <v>61659.500189999999</v>
      </c>
      <c r="B481">
        <v>2.9320900000000001</v>
      </c>
      <c r="C481">
        <v>2.9320900000000001</v>
      </c>
    </row>
    <row r="482" spans="1:3" x14ac:dyDescent="0.35">
      <c r="A482">
        <v>63095.734450000004</v>
      </c>
      <c r="B482">
        <v>2.7648999999999999</v>
      </c>
      <c r="C482">
        <v>2.7648999999999999</v>
      </c>
    </row>
    <row r="483" spans="1:3" x14ac:dyDescent="0.35">
      <c r="A483">
        <v>64565.422899999998</v>
      </c>
      <c r="B483">
        <v>2.5964499999999999</v>
      </c>
      <c r="C483">
        <v>2.5964499999999999</v>
      </c>
    </row>
    <row r="484" spans="1:3" x14ac:dyDescent="0.35">
      <c r="A484">
        <v>66069.344800000006</v>
      </c>
      <c r="B484">
        <v>2.4267699999999999</v>
      </c>
      <c r="C484">
        <v>2.4267699999999999</v>
      </c>
    </row>
    <row r="485" spans="1:3" x14ac:dyDescent="0.35">
      <c r="A485">
        <v>67608.29754</v>
      </c>
      <c r="B485">
        <v>2.2559100000000001</v>
      </c>
      <c r="C485">
        <v>2.2559100000000001</v>
      </c>
    </row>
    <row r="486" spans="1:3" x14ac:dyDescent="0.35">
      <c r="A486">
        <v>69183.097089999996</v>
      </c>
      <c r="B486">
        <v>2.0838899999999998</v>
      </c>
      <c r="C486">
        <v>2.0838899999999998</v>
      </c>
    </row>
    <row r="487" spans="1:3" x14ac:dyDescent="0.35">
      <c r="A487">
        <v>70794.578439999997</v>
      </c>
      <c r="B487">
        <v>1.91076</v>
      </c>
      <c r="C487">
        <v>1.91076</v>
      </c>
    </row>
    <row r="488" spans="1:3" x14ac:dyDescent="0.35">
      <c r="A488">
        <v>72443.596009999994</v>
      </c>
      <c r="B488">
        <v>1.73655</v>
      </c>
      <c r="C488">
        <v>1.73655</v>
      </c>
    </row>
    <row r="489" spans="1:3" x14ac:dyDescent="0.35">
      <c r="A489">
        <v>74131.024130000005</v>
      </c>
      <c r="B489">
        <v>1.5612999999999999</v>
      </c>
      <c r="C489">
        <v>1.5612999999999999</v>
      </c>
    </row>
    <row r="490" spans="1:3" x14ac:dyDescent="0.35">
      <c r="A490">
        <v>75857.757500000007</v>
      </c>
      <c r="B490">
        <v>1.38504</v>
      </c>
      <c r="C490">
        <v>1.38504</v>
      </c>
    </row>
    <row r="491" spans="1:3" x14ac:dyDescent="0.35">
      <c r="A491">
        <v>77624.711660000001</v>
      </c>
      <c r="B491">
        <v>1.2078</v>
      </c>
      <c r="C491">
        <v>1.2078</v>
      </c>
    </row>
    <row r="492" spans="1:3" x14ac:dyDescent="0.35">
      <c r="A492">
        <v>79432.823470000003</v>
      </c>
      <c r="B492">
        <v>1.02962</v>
      </c>
      <c r="C492">
        <v>1.02962</v>
      </c>
    </row>
    <row r="493" spans="1:3" x14ac:dyDescent="0.35">
      <c r="A493">
        <v>81283.051619999998</v>
      </c>
      <c r="B493">
        <v>0.85052899999999998</v>
      </c>
      <c r="C493">
        <v>0.85052899999999998</v>
      </c>
    </row>
    <row r="494" spans="1:3" x14ac:dyDescent="0.35">
      <c r="A494">
        <v>83176.377110000001</v>
      </c>
      <c r="B494">
        <v>0.67055600000000004</v>
      </c>
      <c r="C494">
        <v>0.67055500000000001</v>
      </c>
    </row>
    <row r="495" spans="1:3" x14ac:dyDescent="0.35">
      <c r="A495">
        <v>85113.803820000001</v>
      </c>
      <c r="B495">
        <v>0.48973100000000003</v>
      </c>
      <c r="C495">
        <v>0.48973100000000003</v>
      </c>
    </row>
    <row r="496" spans="1:3" x14ac:dyDescent="0.35">
      <c r="A496">
        <v>87096.358999999997</v>
      </c>
      <c r="B496">
        <v>0.308085</v>
      </c>
      <c r="C496">
        <v>0.308085</v>
      </c>
    </row>
    <row r="497" spans="1:3" x14ac:dyDescent="0.35">
      <c r="A497">
        <v>89125.093810000006</v>
      </c>
      <c r="B497">
        <v>0.12564500000000001</v>
      </c>
      <c r="C497">
        <v>0.12564500000000001</v>
      </c>
    </row>
    <row r="498" spans="1:3" x14ac:dyDescent="0.35">
      <c r="A498">
        <v>91201.083939999997</v>
      </c>
      <c r="B498">
        <v>-5.7559899999999997E-2</v>
      </c>
      <c r="C498">
        <v>-5.7559899999999997E-2</v>
      </c>
    </row>
    <row r="499" spans="1:3" x14ac:dyDescent="0.35">
      <c r="A499">
        <v>93325.430080000006</v>
      </c>
      <c r="B499">
        <v>-0.241504</v>
      </c>
      <c r="C499">
        <v>-0.241504</v>
      </c>
    </row>
    <row r="500" spans="1:3" x14ac:dyDescent="0.35">
      <c r="A500">
        <v>95499.258600000001</v>
      </c>
      <c r="B500">
        <v>-0.42616199999999999</v>
      </c>
      <c r="C500">
        <v>-0.42616199999999999</v>
      </c>
    </row>
    <row r="501" spans="1:3" x14ac:dyDescent="0.35">
      <c r="A501">
        <v>97723.722099999999</v>
      </c>
      <c r="B501">
        <v>-0.61150800000000005</v>
      </c>
      <c r="C501">
        <v>-0.61150800000000005</v>
      </c>
    </row>
    <row r="502" spans="1:3" x14ac:dyDescent="0.35">
      <c r="A502">
        <v>100000</v>
      </c>
      <c r="B502">
        <v>-0.79751899999999998</v>
      </c>
      <c r="C502">
        <v>-0.79751899999999998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C48F-BD59-449C-884D-3B9AE84E1955}">
  <dimension ref="A1:H36"/>
  <sheetViews>
    <sheetView zoomScaleNormal="100" workbookViewId="0">
      <selection sqref="A1:H1"/>
    </sheetView>
  </sheetViews>
  <sheetFormatPr defaultRowHeight="14.5" x14ac:dyDescent="0.35"/>
  <cols>
    <col min="1" max="1" width="18.7265625" bestFit="1" customWidth="1"/>
    <col min="2" max="2" width="9.7265625" bestFit="1" customWidth="1"/>
    <col min="3" max="3" width="10.81640625" bestFit="1" customWidth="1"/>
    <col min="4" max="4" width="11.54296875" customWidth="1"/>
    <col min="5" max="5" width="12" bestFit="1" customWidth="1"/>
    <col min="6" max="6" width="10.81640625" bestFit="1" customWidth="1"/>
    <col min="7" max="7" width="5.453125" bestFit="1" customWidth="1"/>
    <col min="8" max="8" width="10.453125" bestFit="1" customWidth="1"/>
  </cols>
  <sheetData>
    <row r="1" spans="1:8" x14ac:dyDescent="0.35">
      <c r="A1" s="40" t="s">
        <v>169</v>
      </c>
      <c r="B1" s="41"/>
      <c r="C1" s="41"/>
      <c r="D1" s="41"/>
      <c r="E1" s="41"/>
      <c r="F1" s="41"/>
      <c r="G1" s="41"/>
      <c r="H1" s="41"/>
    </row>
    <row r="3" spans="1:8" x14ac:dyDescent="0.35">
      <c r="A3" s="42"/>
      <c r="B3" s="41"/>
      <c r="C3" s="41"/>
      <c r="D3" s="41"/>
      <c r="E3" s="41"/>
      <c r="F3" s="41"/>
      <c r="G3" s="41"/>
      <c r="H3" s="41"/>
    </row>
    <row r="4" spans="1:8" ht="29" x14ac:dyDescent="0.35">
      <c r="A4" s="16" t="s">
        <v>86</v>
      </c>
      <c r="B4" s="17">
        <v>6</v>
      </c>
    </row>
    <row r="5" spans="1:8" x14ac:dyDescent="0.35">
      <c r="A5" s="16" t="s">
        <v>87</v>
      </c>
      <c r="B5" s="17">
        <f>B4-3</f>
        <v>3</v>
      </c>
    </row>
    <row r="6" spans="1:8" ht="30.75" customHeight="1" x14ac:dyDescent="0.35">
      <c r="A6" s="16" t="s">
        <v>88</v>
      </c>
      <c r="B6" s="18">
        <v>10</v>
      </c>
    </row>
    <row r="9" spans="1:8" ht="24" customHeight="1" x14ac:dyDescent="0.35">
      <c r="A9" s="19" t="s">
        <v>84</v>
      </c>
      <c r="B9" s="19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19" t="s">
        <v>95</v>
      </c>
    </row>
    <row r="10" spans="1:8" x14ac:dyDescent="0.35">
      <c r="A10" s="20">
        <v>1</v>
      </c>
      <c r="B10" s="21">
        <v>0.88</v>
      </c>
      <c r="C10" s="21">
        <v>0.44</v>
      </c>
      <c r="D10" s="22">
        <f t="shared" ref="D10:D30" si="0">IF(OR(B10="",C10=""),"",C10/B10)</f>
        <v>0.5</v>
      </c>
      <c r="E10" s="22">
        <f t="shared" ref="E10:E30" si="1">IF(D10="","",20*LOG10(ABS(D10)))</f>
        <v>-6.0205999132796242</v>
      </c>
      <c r="F10" s="23" t="str">
        <f t="shared" ref="F10:F30" si="2">IF(E10="","",IF(E10&lt;=$B$5,"YES","NO"))</f>
        <v>YES</v>
      </c>
      <c r="G10" s="24"/>
      <c r="H10" s="23"/>
    </row>
    <row r="11" spans="1:8" x14ac:dyDescent="0.35">
      <c r="A11" s="20">
        <v>3</v>
      </c>
      <c r="B11" s="21">
        <v>0.88</v>
      </c>
      <c r="C11" s="21">
        <v>1.26</v>
      </c>
      <c r="D11" s="22">
        <f t="shared" si="0"/>
        <v>1.4318181818181819</v>
      </c>
      <c r="E11" s="22">
        <f t="shared" si="1"/>
        <v>3.1177574593478856</v>
      </c>
      <c r="F11" s="23" t="str">
        <f t="shared" si="2"/>
        <v>NO</v>
      </c>
      <c r="G11" s="24"/>
      <c r="H11" s="23"/>
    </row>
    <row r="12" spans="1:8" x14ac:dyDescent="0.35">
      <c r="A12" s="20">
        <v>5</v>
      </c>
      <c r="B12" s="21">
        <v>0.872</v>
      </c>
      <c r="C12" s="21">
        <v>1.82</v>
      </c>
      <c r="D12" s="22">
        <f t="shared" si="0"/>
        <v>2.0871559633027523</v>
      </c>
      <c r="E12" s="22">
        <f t="shared" si="1"/>
        <v>6.3910980610501511</v>
      </c>
      <c r="F12" s="23" t="str">
        <f t="shared" si="2"/>
        <v>NO</v>
      </c>
      <c r="G12" s="24"/>
      <c r="H12" s="23"/>
    </row>
    <row r="13" spans="1:8" x14ac:dyDescent="0.35">
      <c r="A13" s="20">
        <v>10</v>
      </c>
      <c r="B13" s="21">
        <v>0.876</v>
      </c>
      <c r="C13" s="21">
        <v>2.54</v>
      </c>
      <c r="D13" s="22">
        <f t="shared" si="0"/>
        <v>2.8995433789954337</v>
      </c>
      <c r="E13" s="22">
        <f t="shared" si="1"/>
        <v>9.2465922090371464</v>
      </c>
      <c r="F13" s="23" t="str">
        <f t="shared" si="2"/>
        <v>NO</v>
      </c>
      <c r="G13" s="24"/>
      <c r="H13" s="23"/>
    </row>
    <row r="14" spans="1:8" x14ac:dyDescent="0.35">
      <c r="A14" s="20">
        <v>30</v>
      </c>
      <c r="B14" s="21">
        <v>0.872</v>
      </c>
      <c r="C14" s="21">
        <v>2.9</v>
      </c>
      <c r="D14" s="22">
        <f t="shared" si="0"/>
        <v>3.3256880733944953</v>
      </c>
      <c r="E14" s="22">
        <f t="shared" si="1"/>
        <v>10.437630259327777</v>
      </c>
      <c r="F14" s="23" t="str">
        <f t="shared" si="2"/>
        <v>NO</v>
      </c>
      <c r="G14" s="24"/>
      <c r="H14" s="23"/>
    </row>
    <row r="15" spans="1:8" x14ac:dyDescent="0.35">
      <c r="A15" s="20">
        <v>50</v>
      </c>
      <c r="B15" s="21">
        <v>0.872</v>
      </c>
      <c r="C15" s="21">
        <v>2.96</v>
      </c>
      <c r="D15" s="22">
        <f t="shared" si="0"/>
        <v>3.3944954128440368</v>
      </c>
      <c r="E15" s="22">
        <f t="shared" si="1"/>
        <v>10.615504522527427</v>
      </c>
      <c r="F15" s="23" t="str">
        <f t="shared" si="2"/>
        <v>NO</v>
      </c>
      <c r="G15" s="24"/>
      <c r="H15" s="23"/>
    </row>
    <row r="16" spans="1:8" x14ac:dyDescent="0.35">
      <c r="A16" s="20">
        <v>100</v>
      </c>
      <c r="B16" s="21">
        <v>0.872</v>
      </c>
      <c r="C16" s="21">
        <v>2.98</v>
      </c>
      <c r="D16" s="22">
        <f t="shared" si="0"/>
        <v>3.4174311926605503</v>
      </c>
      <c r="E16" s="22">
        <f t="shared" si="1"/>
        <v>10.673995582873758</v>
      </c>
      <c r="F16" s="23" t="str">
        <f t="shared" si="2"/>
        <v>NO</v>
      </c>
      <c r="G16" s="24"/>
      <c r="H16" s="23"/>
    </row>
    <row r="17" spans="1:8" x14ac:dyDescent="0.35">
      <c r="A17" s="20">
        <v>300</v>
      </c>
      <c r="B17" s="21">
        <v>0.86799999999999999</v>
      </c>
      <c r="C17" s="21">
        <v>2.98</v>
      </c>
      <c r="D17" s="22">
        <f t="shared" si="0"/>
        <v>3.4331797235023043</v>
      </c>
      <c r="E17" s="22">
        <f t="shared" si="1"/>
        <v>10.713930777995266</v>
      </c>
      <c r="F17" s="23" t="str">
        <f t="shared" si="2"/>
        <v>NO</v>
      </c>
      <c r="G17" s="24"/>
      <c r="H17" s="23"/>
    </row>
    <row r="18" spans="1:8" x14ac:dyDescent="0.35">
      <c r="A18" s="20">
        <v>500</v>
      </c>
      <c r="B18" s="21">
        <v>0.872</v>
      </c>
      <c r="C18" s="21">
        <v>3</v>
      </c>
      <c r="D18" s="22">
        <f t="shared" si="0"/>
        <v>3.4403669724770642</v>
      </c>
      <c r="E18" s="22">
        <f t="shared" si="1"/>
        <v>10.732095395741904</v>
      </c>
      <c r="F18" s="23" t="str">
        <f t="shared" si="2"/>
        <v>NO</v>
      </c>
      <c r="G18" s="24"/>
      <c r="H18" s="23"/>
    </row>
    <row r="19" spans="1:8" x14ac:dyDescent="0.35">
      <c r="A19" s="20">
        <v>1000</v>
      </c>
      <c r="B19" s="25">
        <v>0.872</v>
      </c>
      <c r="C19" s="25">
        <v>2.98</v>
      </c>
      <c r="D19" s="22">
        <f t="shared" si="0"/>
        <v>3.4174311926605503</v>
      </c>
      <c r="E19" s="22">
        <f t="shared" si="1"/>
        <v>10.673995582873758</v>
      </c>
      <c r="F19" s="23" t="str">
        <f t="shared" si="2"/>
        <v>NO</v>
      </c>
      <c r="G19" s="24"/>
      <c r="H19" s="23"/>
    </row>
    <row r="20" spans="1:8" x14ac:dyDescent="0.35">
      <c r="A20" s="20">
        <v>3000</v>
      </c>
      <c r="B20" s="21">
        <v>0.872</v>
      </c>
      <c r="C20" s="21">
        <v>2.98</v>
      </c>
      <c r="D20" s="22">
        <f t="shared" si="0"/>
        <v>3.4174311926605503</v>
      </c>
      <c r="E20" s="22">
        <f t="shared" si="1"/>
        <v>10.673995582873758</v>
      </c>
      <c r="F20" s="23" t="str">
        <f t="shared" si="2"/>
        <v>NO</v>
      </c>
      <c r="G20" s="24"/>
      <c r="H20" s="23"/>
    </row>
    <row r="21" spans="1:8" x14ac:dyDescent="0.35">
      <c r="A21" s="20">
        <v>5000</v>
      </c>
      <c r="B21" s="21">
        <v>0.86799999999999999</v>
      </c>
      <c r="C21" s="21">
        <v>2.94</v>
      </c>
      <c r="D21" s="22">
        <f t="shared" si="0"/>
        <v>3.3870967741935485</v>
      </c>
      <c r="E21" s="22">
        <f t="shared" si="1"/>
        <v>10.596552104713307</v>
      </c>
      <c r="F21" s="23" t="str">
        <f t="shared" si="2"/>
        <v>NO</v>
      </c>
      <c r="G21" s="24"/>
      <c r="H21" s="23"/>
    </row>
    <row r="22" spans="1:8" x14ac:dyDescent="0.35">
      <c r="A22" s="20">
        <v>10000</v>
      </c>
      <c r="B22" s="26">
        <v>0.86799999999999999</v>
      </c>
      <c r="C22" s="26">
        <v>2.8</v>
      </c>
      <c r="D22" s="27">
        <f t="shared" si="0"/>
        <v>3.225806451612903</v>
      </c>
      <c r="E22" s="27">
        <f t="shared" si="1"/>
        <v>10.172766123314545</v>
      </c>
      <c r="F22" s="28" t="str">
        <f t="shared" si="2"/>
        <v>NO</v>
      </c>
      <c r="G22" s="28"/>
      <c r="H22" s="28"/>
    </row>
    <row r="23" spans="1:8" x14ac:dyDescent="0.35">
      <c r="A23" s="20">
        <v>20000</v>
      </c>
      <c r="B23" s="21">
        <v>0.86799999999999999</v>
      </c>
      <c r="C23" s="21">
        <v>2.46</v>
      </c>
      <c r="D23" s="22">
        <f t="shared" si="0"/>
        <v>2.8341013824884791</v>
      </c>
      <c r="E23" s="22">
        <f t="shared" si="1"/>
        <v>9.048307638537743</v>
      </c>
      <c r="F23" s="23" t="str">
        <f t="shared" si="2"/>
        <v>NO</v>
      </c>
      <c r="G23" s="24"/>
      <c r="H23" s="23"/>
    </row>
    <row r="24" spans="1:8" x14ac:dyDescent="0.35">
      <c r="A24" s="20">
        <v>30000</v>
      </c>
      <c r="B24" s="21">
        <v>0.86799999999999999</v>
      </c>
      <c r="C24" s="21">
        <v>2.1</v>
      </c>
      <c r="D24" s="22">
        <f t="shared" si="0"/>
        <v>2.4193548387096775</v>
      </c>
      <c r="E24" s="22">
        <f t="shared" si="1"/>
        <v>7.6739913911485482</v>
      </c>
      <c r="F24" s="23" t="str">
        <f t="shared" si="2"/>
        <v>NO</v>
      </c>
      <c r="G24" s="24"/>
      <c r="H24" s="23"/>
    </row>
    <row r="25" spans="1:8" x14ac:dyDescent="0.35">
      <c r="A25" s="20">
        <v>50000</v>
      </c>
      <c r="B25" s="21">
        <v>0.86799999999999999</v>
      </c>
      <c r="C25" s="21">
        <v>1.58</v>
      </c>
      <c r="D25" s="22">
        <f t="shared" si="0"/>
        <v>1.8202764976958525</v>
      </c>
      <c r="E25" s="22">
        <f t="shared" si="1"/>
        <v>5.2027472355586148</v>
      </c>
      <c r="F25" s="23" t="str">
        <f t="shared" si="2"/>
        <v>NO</v>
      </c>
      <c r="G25" s="24"/>
      <c r="H25" s="23"/>
    </row>
    <row r="26" spans="1:8" x14ac:dyDescent="0.35">
      <c r="A26" s="20">
        <v>100000</v>
      </c>
      <c r="B26" s="21">
        <v>0.88</v>
      </c>
      <c r="C26" s="21">
        <v>0.98</v>
      </c>
      <c r="D26" s="22">
        <f t="shared" si="0"/>
        <v>1.1136363636363635</v>
      </c>
      <c r="E26" s="22">
        <f t="shared" si="1"/>
        <v>0.9348680708465239</v>
      </c>
      <c r="F26" s="23" t="str">
        <f t="shared" si="2"/>
        <v>YES</v>
      </c>
      <c r="G26" s="24"/>
      <c r="H26" s="23"/>
    </row>
    <row r="27" spans="1:8" x14ac:dyDescent="0.35">
      <c r="A27" s="20">
        <v>200000</v>
      </c>
      <c r="B27" s="21">
        <v>0.88400000000000001</v>
      </c>
      <c r="C27" s="21">
        <v>0.52</v>
      </c>
      <c r="D27" s="22">
        <f t="shared" si="0"/>
        <v>0.58823529411764708</v>
      </c>
      <c r="E27" s="22">
        <f t="shared" si="1"/>
        <v>-4.6089784275654786</v>
      </c>
      <c r="F27" s="23" t="str">
        <f t="shared" si="2"/>
        <v>YES</v>
      </c>
      <c r="G27" s="24"/>
      <c r="H27" s="23"/>
    </row>
    <row r="28" spans="1:8" x14ac:dyDescent="0.35">
      <c r="A28" s="20">
        <v>300000</v>
      </c>
      <c r="B28" s="21">
        <v>0.89200000000000002</v>
      </c>
      <c r="C28" s="21">
        <v>0.36</v>
      </c>
      <c r="D28" s="22">
        <f t="shared" si="0"/>
        <v>0.40358744394618834</v>
      </c>
      <c r="E28" s="22">
        <f t="shared" si="1"/>
        <v>-7.8812470721767163</v>
      </c>
      <c r="F28" s="23" t="str">
        <f t="shared" si="2"/>
        <v>YES</v>
      </c>
      <c r="G28" s="24"/>
      <c r="H28" s="23"/>
    </row>
    <row r="29" spans="1:8" x14ac:dyDescent="0.35">
      <c r="A29" s="20">
        <v>500000</v>
      </c>
      <c r="B29" s="21">
        <v>0.88400000000000001</v>
      </c>
      <c r="C29" s="21">
        <v>0.24</v>
      </c>
      <c r="D29" s="22">
        <f t="shared" si="0"/>
        <v>0.27149321266968324</v>
      </c>
      <c r="E29" s="22">
        <f t="shared" si="1"/>
        <v>-11.324820466029342</v>
      </c>
      <c r="F29" s="23" t="str">
        <f t="shared" si="2"/>
        <v>YES</v>
      </c>
      <c r="G29" s="24"/>
      <c r="H29" s="23"/>
    </row>
    <row r="30" spans="1:8" x14ac:dyDescent="0.35">
      <c r="A30" s="20">
        <v>1000000</v>
      </c>
      <c r="B30" s="21">
        <v>0.88800000000000001</v>
      </c>
      <c r="C30" s="21">
        <v>0.14000000000000001</v>
      </c>
      <c r="D30" s="22">
        <f t="shared" si="0"/>
        <v>0.15765765765765766</v>
      </c>
      <c r="E30" s="22">
        <f t="shared" si="1"/>
        <v>-16.04569860200726</v>
      </c>
      <c r="F30" s="23" t="str">
        <f t="shared" si="2"/>
        <v>YES</v>
      </c>
      <c r="G30" s="24"/>
      <c r="H30" s="23"/>
    </row>
    <row r="33" spans="1:2" x14ac:dyDescent="0.35">
      <c r="A33" s="29" t="s">
        <v>96</v>
      </c>
    </row>
    <row r="34" spans="1:2" x14ac:dyDescent="0.35">
      <c r="A34" s="16" t="s">
        <v>97</v>
      </c>
      <c r="B34" s="18"/>
    </row>
    <row r="35" spans="1:2" ht="29" x14ac:dyDescent="0.35">
      <c r="A35" s="16" t="s">
        <v>98</v>
      </c>
      <c r="B35" s="18">
        <f>IF(B20="","",$B$6*B20)</f>
        <v>8.7200000000000006</v>
      </c>
    </row>
    <row r="36" spans="1:2" ht="116" x14ac:dyDescent="0.35">
      <c r="A36" s="16" t="s">
        <v>99</v>
      </c>
      <c r="B36" s="16" t="s">
        <v>100</v>
      </c>
    </row>
  </sheetData>
  <mergeCells count="2">
    <mergeCell ref="A1:H1"/>
    <mergeCell ref="A3:H3"/>
  </mergeCells>
  <pageMargins left="0.75" right="0.75" top="1" bottom="1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362A-2746-4174-A138-F60C9E3E6464}">
  <dimension ref="A1:H36"/>
  <sheetViews>
    <sheetView zoomScaleNormal="100" workbookViewId="0">
      <selection sqref="A1:H1"/>
    </sheetView>
  </sheetViews>
  <sheetFormatPr defaultRowHeight="14.5" x14ac:dyDescent="0.35"/>
  <cols>
    <col min="1" max="1" width="18.7265625" bestFit="1" customWidth="1"/>
    <col min="2" max="2" width="9.7265625" bestFit="1" customWidth="1"/>
    <col min="3" max="3" width="10.81640625" bestFit="1" customWidth="1"/>
    <col min="4" max="4" width="11.54296875" customWidth="1"/>
    <col min="5" max="5" width="8.1796875" bestFit="1" customWidth="1"/>
    <col min="6" max="6" width="10.81640625" bestFit="1" customWidth="1"/>
    <col min="7" max="7" width="5.453125" bestFit="1" customWidth="1"/>
    <col min="8" max="8" width="10.453125" bestFit="1" customWidth="1"/>
  </cols>
  <sheetData>
    <row r="1" spans="1:8" x14ac:dyDescent="0.35">
      <c r="A1" s="40" t="s">
        <v>170</v>
      </c>
      <c r="B1" s="41"/>
      <c r="C1" s="41"/>
      <c r="D1" s="41"/>
      <c r="E1" s="41"/>
      <c r="F1" s="41"/>
      <c r="G1" s="41"/>
      <c r="H1" s="41"/>
    </row>
    <row r="3" spans="1:8" x14ac:dyDescent="0.35">
      <c r="A3" s="42"/>
      <c r="B3" s="41"/>
      <c r="C3" s="41"/>
      <c r="D3" s="41"/>
      <c r="E3" s="41"/>
      <c r="F3" s="41"/>
      <c r="G3" s="41"/>
      <c r="H3" s="41"/>
    </row>
    <row r="4" spans="1:8" ht="29" x14ac:dyDescent="0.35">
      <c r="A4" s="16" t="s">
        <v>86</v>
      </c>
      <c r="B4" s="17">
        <v>6</v>
      </c>
    </row>
    <row r="5" spans="1:8" x14ac:dyDescent="0.35">
      <c r="A5" s="16" t="s">
        <v>87</v>
      </c>
      <c r="B5" s="17">
        <f>B4-3</f>
        <v>3</v>
      </c>
    </row>
    <row r="6" spans="1:8" ht="30.75" customHeight="1" x14ac:dyDescent="0.35">
      <c r="A6" s="16" t="s">
        <v>88</v>
      </c>
      <c r="B6" s="18">
        <v>10</v>
      </c>
    </row>
    <row r="9" spans="1:8" ht="24" customHeight="1" x14ac:dyDescent="0.35">
      <c r="A9" s="19" t="s">
        <v>84</v>
      </c>
      <c r="B9" s="19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19" t="s">
        <v>95</v>
      </c>
    </row>
    <row r="10" spans="1:8" x14ac:dyDescent="0.35">
      <c r="A10" s="20">
        <v>1</v>
      </c>
      <c r="B10" s="21">
        <v>0.88</v>
      </c>
      <c r="C10" s="21">
        <v>0.08</v>
      </c>
      <c r="D10" s="22">
        <f t="shared" ref="D10:D30" si="0">IF(OR(B10="",C10=""),"",C10/B10)</f>
        <v>9.0909090909090912E-2</v>
      </c>
      <c r="E10" s="22">
        <f t="shared" ref="E10:E30" si="1">IF(D10="","",20*LOG10(ABS(D10)))</f>
        <v>-20.8278537031645</v>
      </c>
      <c r="F10" s="23" t="str">
        <f t="shared" ref="F10:F30" si="2">IF(E10="","",IF(E10&lt;=$B$5,"YES","NO"))</f>
        <v>YES</v>
      </c>
      <c r="G10" s="24"/>
      <c r="H10" s="23"/>
    </row>
    <row r="11" spans="1:8" x14ac:dyDescent="0.35">
      <c r="A11" s="20">
        <v>3</v>
      </c>
      <c r="B11" s="21">
        <v>0.876</v>
      </c>
      <c r="C11" s="21">
        <v>0.42</v>
      </c>
      <c r="D11" s="22">
        <f t="shared" si="0"/>
        <v>0.47945205479452052</v>
      </c>
      <c r="E11" s="22">
        <f t="shared" si="1"/>
        <v>-6.3850963154036053</v>
      </c>
      <c r="F11" s="23" t="str">
        <f t="shared" si="2"/>
        <v>YES</v>
      </c>
      <c r="G11" s="24"/>
      <c r="H11" s="23"/>
    </row>
    <row r="12" spans="1:8" x14ac:dyDescent="0.35">
      <c r="A12" s="20">
        <v>5</v>
      </c>
      <c r="B12" s="21">
        <v>0.876</v>
      </c>
      <c r="C12" s="21">
        <v>0.94</v>
      </c>
      <c r="D12" s="22">
        <f t="shared" si="0"/>
        <v>1.0730593607305936</v>
      </c>
      <c r="E12" s="22">
        <f t="shared" si="1"/>
        <v>0.61247494863235863</v>
      </c>
      <c r="F12" s="23" t="str">
        <f t="shared" si="2"/>
        <v>YES</v>
      </c>
      <c r="G12" s="24"/>
      <c r="H12" s="23"/>
    </row>
    <row r="13" spans="1:8" x14ac:dyDescent="0.35">
      <c r="A13" s="20">
        <v>10</v>
      </c>
      <c r="B13" s="21">
        <v>0.876</v>
      </c>
      <c r="C13" s="21">
        <v>1.94</v>
      </c>
      <c r="D13" s="22">
        <f t="shared" si="0"/>
        <v>2.2146118721461185</v>
      </c>
      <c r="E13" s="22">
        <f t="shared" si="1"/>
        <v>6.9059524752429056</v>
      </c>
      <c r="F13" s="23" t="str">
        <f t="shared" si="2"/>
        <v>NO</v>
      </c>
      <c r="G13" s="24"/>
      <c r="H13" s="23"/>
    </row>
    <row r="14" spans="1:8" x14ac:dyDescent="0.35">
      <c r="A14" s="20">
        <v>30</v>
      </c>
      <c r="B14" s="21">
        <v>0.876</v>
      </c>
      <c r="C14" s="21">
        <v>2.74</v>
      </c>
      <c r="D14" s="22">
        <f t="shared" si="0"/>
        <v>3.127853881278539</v>
      </c>
      <c r="E14" s="22">
        <f t="shared" si="1"/>
        <v>9.9049291330461458</v>
      </c>
      <c r="F14" s="23" t="str">
        <f t="shared" si="2"/>
        <v>NO</v>
      </c>
      <c r="G14" s="24"/>
      <c r="H14" s="23"/>
    </row>
    <row r="15" spans="1:8" x14ac:dyDescent="0.35">
      <c r="A15" s="20">
        <v>50</v>
      </c>
      <c r="B15" s="21">
        <v>0.872</v>
      </c>
      <c r="C15" s="21">
        <v>2.86</v>
      </c>
      <c r="D15" s="22">
        <f t="shared" si="0"/>
        <v>3.2798165137614679</v>
      </c>
      <c r="E15" s="22">
        <f t="shared" si="1"/>
        <v>10.316990963929516</v>
      </c>
      <c r="F15" s="23" t="str">
        <f t="shared" si="2"/>
        <v>NO</v>
      </c>
      <c r="G15" s="24"/>
      <c r="H15" s="23"/>
    </row>
    <row r="16" spans="1:8" x14ac:dyDescent="0.35">
      <c r="A16" s="20">
        <v>100</v>
      </c>
      <c r="B16" s="21">
        <v>0.872</v>
      </c>
      <c r="C16" s="21">
        <v>2.94</v>
      </c>
      <c r="D16" s="22">
        <f t="shared" si="0"/>
        <v>3.3715596330275228</v>
      </c>
      <c r="E16" s="22">
        <f t="shared" si="1"/>
        <v>10.556616909591801</v>
      </c>
      <c r="F16" s="23" t="str">
        <f t="shared" si="2"/>
        <v>NO</v>
      </c>
      <c r="G16" s="24"/>
      <c r="H16" s="23"/>
    </row>
    <row r="17" spans="1:8" x14ac:dyDescent="0.35">
      <c r="A17" s="20">
        <v>300</v>
      </c>
      <c r="B17" s="21">
        <v>0.872</v>
      </c>
      <c r="C17" s="21">
        <v>2.96</v>
      </c>
      <c r="D17" s="22">
        <f t="shared" si="0"/>
        <v>3.3944954128440368</v>
      </c>
      <c r="E17" s="22">
        <f t="shared" si="1"/>
        <v>10.615504522527427</v>
      </c>
      <c r="F17" s="23" t="str">
        <f t="shared" si="2"/>
        <v>NO</v>
      </c>
      <c r="G17" s="24"/>
      <c r="H17" s="23"/>
    </row>
    <row r="18" spans="1:8" x14ac:dyDescent="0.35">
      <c r="A18" s="20">
        <v>500</v>
      </c>
      <c r="B18" s="21">
        <v>0.872</v>
      </c>
      <c r="C18" s="21">
        <v>2.98</v>
      </c>
      <c r="D18" s="22">
        <f t="shared" si="0"/>
        <v>3.4174311926605503</v>
      </c>
      <c r="E18" s="22">
        <f t="shared" si="1"/>
        <v>10.673995582873758</v>
      </c>
      <c r="F18" s="23" t="str">
        <f t="shared" si="2"/>
        <v>NO</v>
      </c>
      <c r="G18" s="24"/>
      <c r="H18" s="23"/>
    </row>
    <row r="19" spans="1:8" x14ac:dyDescent="0.35">
      <c r="A19" s="20">
        <v>1000</v>
      </c>
      <c r="B19" s="25">
        <v>0.872</v>
      </c>
      <c r="C19" s="25">
        <v>2.98</v>
      </c>
      <c r="D19" s="22">
        <f t="shared" si="0"/>
        <v>3.4174311926605503</v>
      </c>
      <c r="E19" s="22">
        <f t="shared" si="1"/>
        <v>10.673995582873758</v>
      </c>
      <c r="F19" s="23" t="str">
        <f t="shared" si="2"/>
        <v>NO</v>
      </c>
      <c r="G19" s="24"/>
      <c r="H19" s="23"/>
    </row>
    <row r="20" spans="1:8" x14ac:dyDescent="0.35">
      <c r="A20" s="20">
        <v>3000</v>
      </c>
      <c r="B20" s="21">
        <v>0.872</v>
      </c>
      <c r="C20" s="21">
        <v>2.96</v>
      </c>
      <c r="D20" s="22">
        <f t="shared" si="0"/>
        <v>3.3944954128440368</v>
      </c>
      <c r="E20" s="22">
        <f t="shared" si="1"/>
        <v>10.615504522527427</v>
      </c>
      <c r="F20" s="23" t="str">
        <f t="shared" si="2"/>
        <v>NO</v>
      </c>
      <c r="G20" s="24"/>
      <c r="H20" s="23"/>
    </row>
    <row r="21" spans="1:8" x14ac:dyDescent="0.35">
      <c r="A21" s="20">
        <v>5000</v>
      </c>
      <c r="B21" s="21">
        <v>0.872</v>
      </c>
      <c r="C21" s="21">
        <v>2.92</v>
      </c>
      <c r="D21" s="22">
        <f t="shared" si="0"/>
        <v>3.3486238532110093</v>
      </c>
      <c r="E21" s="22">
        <f t="shared" si="1"/>
        <v>10.49732733031702</v>
      </c>
      <c r="F21" s="23" t="str">
        <f t="shared" si="2"/>
        <v>NO</v>
      </c>
      <c r="G21" s="24"/>
      <c r="H21" s="23"/>
    </row>
    <row r="22" spans="1:8" x14ac:dyDescent="0.35">
      <c r="A22" s="20">
        <v>10000</v>
      </c>
      <c r="B22" s="26">
        <v>0.872</v>
      </c>
      <c r="C22" s="26">
        <v>2.8</v>
      </c>
      <c r="D22" s="27">
        <f t="shared" si="0"/>
        <v>3.2110091743119265</v>
      </c>
      <c r="E22" s="27">
        <f t="shared" si="1"/>
        <v>10.132830928193039</v>
      </c>
      <c r="F22" s="28" t="str">
        <f t="shared" si="2"/>
        <v>NO</v>
      </c>
      <c r="G22" s="28"/>
      <c r="H22" s="28"/>
    </row>
    <row r="23" spans="1:8" x14ac:dyDescent="0.35">
      <c r="A23" s="20">
        <v>20000</v>
      </c>
      <c r="B23" s="21">
        <v>0.86799999999999999</v>
      </c>
      <c r="C23" s="21">
        <v>2.44</v>
      </c>
      <c r="D23" s="22">
        <f t="shared" si="0"/>
        <v>2.8110599078341014</v>
      </c>
      <c r="E23" s="22">
        <f t="shared" si="1"/>
        <v>8.9774020232447498</v>
      </c>
      <c r="F23" s="23" t="str">
        <f t="shared" si="2"/>
        <v>NO</v>
      </c>
      <c r="G23" s="24"/>
      <c r="H23" s="23"/>
    </row>
    <row r="24" spans="1:8" x14ac:dyDescent="0.35">
      <c r="A24" s="20">
        <v>30000</v>
      </c>
      <c r="B24" s="21">
        <v>0.86799999999999999</v>
      </c>
      <c r="C24" s="21">
        <v>2.1</v>
      </c>
      <c r="D24" s="22">
        <f t="shared" si="0"/>
        <v>2.4193548387096775</v>
      </c>
      <c r="E24" s="22">
        <f t="shared" si="1"/>
        <v>7.6739913911485482</v>
      </c>
      <c r="F24" s="23" t="str">
        <f t="shared" si="2"/>
        <v>NO</v>
      </c>
      <c r="G24" s="24"/>
      <c r="H24" s="23"/>
    </row>
    <row r="25" spans="1:8" x14ac:dyDescent="0.35">
      <c r="A25" s="20">
        <v>50000</v>
      </c>
      <c r="B25" s="21">
        <v>0.872</v>
      </c>
      <c r="C25" s="21">
        <v>1.58</v>
      </c>
      <c r="D25" s="22">
        <f t="shared" si="0"/>
        <v>1.8119266055045873</v>
      </c>
      <c r="E25" s="22">
        <f t="shared" si="1"/>
        <v>5.1628120404371094</v>
      </c>
      <c r="F25" s="23" t="str">
        <f t="shared" si="2"/>
        <v>NO</v>
      </c>
      <c r="G25" s="24"/>
      <c r="H25" s="23"/>
    </row>
    <row r="26" spans="1:8" x14ac:dyDescent="0.35">
      <c r="A26" s="20">
        <v>100000</v>
      </c>
      <c r="B26" s="21">
        <v>0.88</v>
      </c>
      <c r="C26" s="21">
        <v>0.96</v>
      </c>
      <c r="D26" s="22">
        <f t="shared" si="0"/>
        <v>1.0909090909090908</v>
      </c>
      <c r="E26" s="22">
        <f t="shared" si="1"/>
        <v>0.75577121778799505</v>
      </c>
      <c r="F26" s="23" t="str">
        <f t="shared" si="2"/>
        <v>YES</v>
      </c>
      <c r="G26" s="24"/>
      <c r="H26" s="23"/>
    </row>
    <row r="27" spans="1:8" x14ac:dyDescent="0.35">
      <c r="A27" s="20">
        <v>200000</v>
      </c>
      <c r="B27" s="21"/>
      <c r="C27" s="21"/>
      <c r="D27" s="22" t="str">
        <f t="shared" si="0"/>
        <v/>
      </c>
      <c r="E27" s="22" t="str">
        <f t="shared" si="1"/>
        <v/>
      </c>
      <c r="F27" s="23" t="str">
        <f t="shared" si="2"/>
        <v/>
      </c>
      <c r="G27" s="24"/>
      <c r="H27" s="23"/>
    </row>
    <row r="28" spans="1:8" x14ac:dyDescent="0.35">
      <c r="A28" s="20">
        <v>300000</v>
      </c>
      <c r="B28" s="21"/>
      <c r="C28" s="21"/>
      <c r="D28" s="22" t="str">
        <f t="shared" si="0"/>
        <v/>
      </c>
      <c r="E28" s="22" t="str">
        <f t="shared" si="1"/>
        <v/>
      </c>
      <c r="F28" s="23" t="str">
        <f t="shared" si="2"/>
        <v/>
      </c>
      <c r="G28" s="24"/>
      <c r="H28" s="23"/>
    </row>
    <row r="29" spans="1:8" x14ac:dyDescent="0.35">
      <c r="A29" s="20">
        <v>500000</v>
      </c>
      <c r="B29" s="21"/>
      <c r="C29" s="21"/>
      <c r="D29" s="22" t="str">
        <f t="shared" si="0"/>
        <v/>
      </c>
      <c r="E29" s="22" t="str">
        <f t="shared" si="1"/>
        <v/>
      </c>
      <c r="F29" s="23" t="str">
        <f t="shared" si="2"/>
        <v/>
      </c>
      <c r="G29" s="24"/>
      <c r="H29" s="23"/>
    </row>
    <row r="30" spans="1:8" x14ac:dyDescent="0.35">
      <c r="A30" s="20">
        <v>1000000</v>
      </c>
      <c r="B30" s="21"/>
      <c r="C30" s="21"/>
      <c r="D30" s="22" t="str">
        <f t="shared" si="0"/>
        <v/>
      </c>
      <c r="E30" s="22" t="str">
        <f t="shared" si="1"/>
        <v/>
      </c>
      <c r="F30" s="23" t="str">
        <f t="shared" si="2"/>
        <v/>
      </c>
      <c r="G30" s="24"/>
      <c r="H30" s="23"/>
    </row>
    <row r="33" spans="1:2" x14ac:dyDescent="0.35">
      <c r="A33" s="29" t="s">
        <v>96</v>
      </c>
    </row>
    <row r="34" spans="1:2" x14ac:dyDescent="0.35">
      <c r="A34" s="16" t="s">
        <v>97</v>
      </c>
      <c r="B34" s="18"/>
    </row>
    <row r="35" spans="1:2" ht="29" x14ac:dyDescent="0.35">
      <c r="A35" s="16" t="s">
        <v>98</v>
      </c>
      <c r="B35" s="18">
        <f>IF(B20="","",$B$6*B20)</f>
        <v>8.7200000000000006</v>
      </c>
    </row>
    <row r="36" spans="1:2" ht="116" x14ac:dyDescent="0.35">
      <c r="A36" s="16" t="s">
        <v>99</v>
      </c>
      <c r="B36" s="16" t="s">
        <v>100</v>
      </c>
    </row>
  </sheetData>
  <mergeCells count="2">
    <mergeCell ref="A1:H1"/>
    <mergeCell ref="A3:H3"/>
  </mergeCells>
  <pageMargins left="0.75" right="0.75" top="1" bottom="1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94AA-F352-422A-A76F-D4F00A51C81A}">
  <dimension ref="A1:Q502"/>
  <sheetViews>
    <sheetView workbookViewId="0"/>
  </sheetViews>
  <sheetFormatPr defaultRowHeight="14.5" x14ac:dyDescent="0.35"/>
  <cols>
    <col min="1" max="1" width="13.1796875" bestFit="1" customWidth="1"/>
    <col min="2" max="2" width="23.1796875" bestFit="1" customWidth="1"/>
    <col min="3" max="3" width="25.1796875" bestFit="1" customWidth="1"/>
    <col min="13" max="13" width="8.54296875" bestFit="1" customWidth="1"/>
    <col min="14" max="14" width="7.81640625" bestFit="1" customWidth="1"/>
    <col min="15" max="15" width="8.453125" bestFit="1" customWidth="1"/>
    <col min="16" max="16" width="11.81640625" bestFit="1" customWidth="1"/>
    <col min="17" max="17" width="13.54296875" customWidth="1"/>
  </cols>
  <sheetData>
    <row r="1" spans="1:17" ht="43.5" x14ac:dyDescent="0.35">
      <c r="A1" t="s">
        <v>84</v>
      </c>
      <c r="B1" t="s">
        <v>167</v>
      </c>
      <c r="C1" t="s">
        <v>168</v>
      </c>
      <c r="M1" s="19" t="s">
        <v>84</v>
      </c>
      <c r="N1" s="19" t="s">
        <v>89</v>
      </c>
      <c r="O1" s="19" t="s">
        <v>90</v>
      </c>
      <c r="P1" s="19" t="s">
        <v>91</v>
      </c>
      <c r="Q1" s="19" t="s">
        <v>171</v>
      </c>
    </row>
    <row r="2" spans="1:17" x14ac:dyDescent="0.35">
      <c r="A2">
        <v>1</v>
      </c>
      <c r="B2">
        <v>-5.8582400000000003</v>
      </c>
      <c r="C2">
        <v>-24.825399999999998</v>
      </c>
      <c r="M2" s="20">
        <v>1</v>
      </c>
      <c r="N2" s="21">
        <v>0.88</v>
      </c>
      <c r="O2" s="21">
        <v>0.44</v>
      </c>
      <c r="P2" s="22">
        <f t="shared" ref="P2:P23" si="0">IF(OR(N2="",O2=""),"",O2/N2)</f>
        <v>0.5</v>
      </c>
      <c r="Q2" s="22">
        <f t="shared" ref="Q2:Q23" si="1">IF(P2="","",20*LOG10(ABS(P2)))</f>
        <v>-6.0205999132796242</v>
      </c>
    </row>
    <row r="3" spans="1:17" x14ac:dyDescent="0.35">
      <c r="A3">
        <v>1.023292992</v>
      </c>
      <c r="B3">
        <v>-5.6627900000000002</v>
      </c>
      <c r="C3">
        <v>-24.432500000000001</v>
      </c>
      <c r="M3" s="20">
        <v>3</v>
      </c>
      <c r="N3" s="21">
        <v>0.88</v>
      </c>
      <c r="O3" s="21">
        <v>1.26</v>
      </c>
      <c r="P3" s="22">
        <f t="shared" si="0"/>
        <v>1.4318181818181819</v>
      </c>
      <c r="Q3" s="22">
        <f t="shared" si="1"/>
        <v>3.1177574593478856</v>
      </c>
    </row>
    <row r="4" spans="1:17" x14ac:dyDescent="0.35">
      <c r="A4">
        <v>1.0471285480000001</v>
      </c>
      <c r="B4">
        <v>-5.4675500000000001</v>
      </c>
      <c r="C4">
        <v>-24.04</v>
      </c>
      <c r="M4" s="20">
        <v>5</v>
      </c>
      <c r="N4" s="21">
        <v>0.872</v>
      </c>
      <c r="O4" s="21">
        <v>1.82</v>
      </c>
      <c r="P4" s="22">
        <f t="shared" si="0"/>
        <v>2.0871559633027523</v>
      </c>
      <c r="Q4" s="22">
        <f t="shared" si="1"/>
        <v>6.3910980610501511</v>
      </c>
    </row>
    <row r="5" spans="1:17" x14ac:dyDescent="0.35">
      <c r="A5">
        <v>1.071519305</v>
      </c>
      <c r="B5">
        <v>-5.2725299999999997</v>
      </c>
      <c r="C5">
        <v>-23.6478</v>
      </c>
      <c r="M5" s="20">
        <v>10</v>
      </c>
      <c r="N5" s="21">
        <v>0.876</v>
      </c>
      <c r="O5" s="21">
        <v>2.54</v>
      </c>
      <c r="P5" s="22">
        <f t="shared" si="0"/>
        <v>2.8995433789954337</v>
      </c>
      <c r="Q5" s="22">
        <f t="shared" si="1"/>
        <v>9.2465922090371464</v>
      </c>
    </row>
    <row r="6" spans="1:17" x14ac:dyDescent="0.35">
      <c r="A6">
        <v>1.0964781960000001</v>
      </c>
      <c r="B6">
        <v>-5.0777400000000004</v>
      </c>
      <c r="C6">
        <v>-23.256</v>
      </c>
      <c r="M6" s="20">
        <v>30</v>
      </c>
      <c r="N6" s="21">
        <v>0.872</v>
      </c>
      <c r="O6" s="21">
        <v>2.9</v>
      </c>
      <c r="P6" s="22">
        <f t="shared" si="0"/>
        <v>3.3256880733944953</v>
      </c>
      <c r="Q6" s="22">
        <f t="shared" si="1"/>
        <v>10.437630259327777</v>
      </c>
    </row>
    <row r="7" spans="1:17" x14ac:dyDescent="0.35">
      <c r="A7">
        <v>1.122018454</v>
      </c>
      <c r="B7">
        <v>-4.8831899999999999</v>
      </c>
      <c r="C7">
        <v>-22.8645</v>
      </c>
      <c r="M7" s="20">
        <v>50</v>
      </c>
      <c r="N7" s="21">
        <v>0.872</v>
      </c>
      <c r="O7" s="21">
        <v>2.96</v>
      </c>
      <c r="P7" s="22">
        <f t="shared" si="0"/>
        <v>3.3944954128440368</v>
      </c>
      <c r="Q7" s="22">
        <f t="shared" si="1"/>
        <v>10.615504522527427</v>
      </c>
    </row>
    <row r="8" spans="1:17" x14ac:dyDescent="0.35">
      <c r="A8">
        <v>1.1481536210000001</v>
      </c>
      <c r="B8">
        <v>-4.6888899999999998</v>
      </c>
      <c r="C8">
        <v>-22.473500000000001</v>
      </c>
      <c r="M8" s="20">
        <v>100</v>
      </c>
      <c r="N8" s="21">
        <v>0.872</v>
      </c>
      <c r="O8" s="21">
        <v>2.98</v>
      </c>
      <c r="P8" s="22">
        <f t="shared" si="0"/>
        <v>3.4174311926605503</v>
      </c>
      <c r="Q8" s="22">
        <f t="shared" si="1"/>
        <v>10.673995582873758</v>
      </c>
    </row>
    <row r="9" spans="1:17" x14ac:dyDescent="0.35">
      <c r="A9">
        <v>1.174897555</v>
      </c>
      <c r="B9">
        <v>-4.4948499999999996</v>
      </c>
      <c r="C9">
        <v>-22.082899999999999</v>
      </c>
      <c r="M9" s="20">
        <v>300</v>
      </c>
      <c r="N9" s="21">
        <v>0.86799999999999999</v>
      </c>
      <c r="O9" s="21">
        <v>2.98</v>
      </c>
      <c r="P9" s="22">
        <f t="shared" si="0"/>
        <v>3.4331797235023043</v>
      </c>
      <c r="Q9" s="22">
        <f t="shared" si="1"/>
        <v>10.713930777995266</v>
      </c>
    </row>
    <row r="10" spans="1:17" x14ac:dyDescent="0.35">
      <c r="A10">
        <v>1.202264435</v>
      </c>
      <c r="B10">
        <v>-4.3010700000000002</v>
      </c>
      <c r="C10">
        <v>-21.692699999999999</v>
      </c>
      <c r="M10" s="20">
        <v>440</v>
      </c>
      <c r="N10" s="31">
        <v>0.86799999999999999</v>
      </c>
      <c r="O10" s="33">
        <v>3</v>
      </c>
      <c r="P10" s="22">
        <f t="shared" si="0"/>
        <v>3.4562211981566819</v>
      </c>
      <c r="Q10" s="22">
        <f t="shared" si="1"/>
        <v>10.772030590863411</v>
      </c>
    </row>
    <row r="11" spans="1:17" x14ac:dyDescent="0.35">
      <c r="A11">
        <v>1.230268771</v>
      </c>
      <c r="B11">
        <v>-4.1075900000000001</v>
      </c>
      <c r="C11">
        <v>-21.302900000000001</v>
      </c>
      <c r="M11" s="20">
        <v>500</v>
      </c>
      <c r="N11" s="21">
        <v>0.872</v>
      </c>
      <c r="O11" s="21">
        <v>3</v>
      </c>
      <c r="P11" s="22">
        <f t="shared" si="0"/>
        <v>3.4403669724770642</v>
      </c>
      <c r="Q11" s="22">
        <f t="shared" si="1"/>
        <v>10.732095395741904</v>
      </c>
    </row>
    <row r="12" spans="1:17" x14ac:dyDescent="0.35">
      <c r="A12">
        <v>1.258925412</v>
      </c>
      <c r="B12">
        <v>-3.9144000000000001</v>
      </c>
      <c r="C12">
        <v>-20.913599999999999</v>
      </c>
      <c r="M12" s="20">
        <v>1000</v>
      </c>
      <c r="N12" s="25">
        <v>0.872</v>
      </c>
      <c r="O12" s="25">
        <v>2.98</v>
      </c>
      <c r="P12" s="22">
        <f t="shared" si="0"/>
        <v>3.4174311926605503</v>
      </c>
      <c r="Q12" s="22">
        <f t="shared" si="1"/>
        <v>10.673995582873758</v>
      </c>
    </row>
    <row r="13" spans="1:17" x14ac:dyDescent="0.35">
      <c r="A13">
        <v>1.2882495519999999</v>
      </c>
      <c r="B13">
        <v>-3.7215199999999999</v>
      </c>
      <c r="C13">
        <v>-20.524799999999999</v>
      </c>
      <c r="M13" s="20">
        <v>3000</v>
      </c>
      <c r="N13" s="21">
        <v>0.872</v>
      </c>
      <c r="O13" s="21">
        <v>2.98</v>
      </c>
      <c r="P13" s="22">
        <f t="shared" si="0"/>
        <v>3.4174311926605503</v>
      </c>
      <c r="Q13" s="22">
        <f t="shared" si="1"/>
        <v>10.673995582873758</v>
      </c>
    </row>
    <row r="14" spans="1:17" x14ac:dyDescent="0.35">
      <c r="A14">
        <v>1.318256739</v>
      </c>
      <c r="B14">
        <v>-3.5289600000000001</v>
      </c>
      <c r="C14">
        <v>-20.136500000000002</v>
      </c>
      <c r="M14" s="20">
        <v>5000</v>
      </c>
      <c r="N14" s="21">
        <v>0.86799999999999999</v>
      </c>
      <c r="O14" s="21">
        <v>2.94</v>
      </c>
      <c r="P14" s="22">
        <f t="shared" si="0"/>
        <v>3.3870967741935485</v>
      </c>
      <c r="Q14" s="22">
        <f t="shared" si="1"/>
        <v>10.596552104713307</v>
      </c>
    </row>
    <row r="15" spans="1:17" x14ac:dyDescent="0.35">
      <c r="A15">
        <v>1.348962883</v>
      </c>
      <c r="B15">
        <v>-3.3367399999999998</v>
      </c>
      <c r="C15">
        <v>-19.748799999999999</v>
      </c>
      <c r="M15" s="20">
        <v>10000</v>
      </c>
      <c r="N15" s="26">
        <v>0.86799999999999999</v>
      </c>
      <c r="O15" s="26">
        <v>2.8</v>
      </c>
      <c r="P15" s="27">
        <f t="shared" si="0"/>
        <v>3.225806451612903</v>
      </c>
      <c r="Q15" s="27">
        <f t="shared" si="1"/>
        <v>10.172766123314545</v>
      </c>
    </row>
    <row r="16" spans="1:17" x14ac:dyDescent="0.35">
      <c r="A16">
        <v>1.380384265</v>
      </c>
      <c r="B16">
        <v>-3.1448700000000001</v>
      </c>
      <c r="C16">
        <v>-19.361599999999999</v>
      </c>
      <c r="M16" s="20">
        <v>20000</v>
      </c>
      <c r="N16" s="21">
        <v>0.86799999999999999</v>
      </c>
      <c r="O16" s="21">
        <v>2.46</v>
      </c>
      <c r="P16" s="22">
        <f t="shared" si="0"/>
        <v>2.8341013824884791</v>
      </c>
      <c r="Q16" s="22">
        <f t="shared" si="1"/>
        <v>9.048307638537743</v>
      </c>
    </row>
    <row r="17" spans="1:17" x14ac:dyDescent="0.35">
      <c r="A17">
        <v>1.4125375449999999</v>
      </c>
      <c r="B17">
        <v>-2.9533700000000001</v>
      </c>
      <c r="C17">
        <v>-18.975000000000001</v>
      </c>
      <c r="M17" s="20">
        <v>30000</v>
      </c>
      <c r="N17" s="21">
        <v>0.86799999999999999</v>
      </c>
      <c r="O17" s="21">
        <v>2.1</v>
      </c>
      <c r="P17" s="22">
        <f t="shared" si="0"/>
        <v>2.4193548387096775</v>
      </c>
      <c r="Q17" s="22">
        <f t="shared" si="1"/>
        <v>7.6739913911485482</v>
      </c>
    </row>
    <row r="18" spans="1:17" x14ac:dyDescent="0.35">
      <c r="A18">
        <v>1.445439771</v>
      </c>
      <c r="B18">
        <v>-2.7622499999999999</v>
      </c>
      <c r="C18">
        <v>-18.588999999999999</v>
      </c>
      <c r="M18" s="20">
        <v>50000</v>
      </c>
      <c r="N18" s="21">
        <v>0.86799999999999999</v>
      </c>
      <c r="O18" s="21">
        <v>1.58</v>
      </c>
      <c r="P18" s="22">
        <f t="shared" si="0"/>
        <v>1.8202764976958525</v>
      </c>
      <c r="Q18" s="22">
        <f t="shared" si="1"/>
        <v>5.2027472355586148</v>
      </c>
    </row>
    <row r="19" spans="1:17" x14ac:dyDescent="0.35">
      <c r="A19">
        <v>1.479108388</v>
      </c>
      <c r="B19">
        <v>-2.5715300000000001</v>
      </c>
      <c r="C19">
        <v>-18.203600000000002</v>
      </c>
      <c r="M19" s="20">
        <v>100000</v>
      </c>
      <c r="N19" s="21">
        <v>0.88</v>
      </c>
      <c r="O19" s="21">
        <v>0.98</v>
      </c>
      <c r="P19" s="22">
        <f t="shared" si="0"/>
        <v>1.1136363636363635</v>
      </c>
      <c r="Q19" s="22">
        <f t="shared" si="1"/>
        <v>0.9348680708465239</v>
      </c>
    </row>
    <row r="20" spans="1:17" x14ac:dyDescent="0.35">
      <c r="A20">
        <v>1.513561248</v>
      </c>
      <c r="B20">
        <v>-2.3812199999999999</v>
      </c>
      <c r="C20">
        <v>-17.818899999999999</v>
      </c>
      <c r="M20" s="20">
        <v>200000</v>
      </c>
      <c r="N20" s="21">
        <v>0.88400000000000001</v>
      </c>
      <c r="O20" s="21">
        <v>0.52</v>
      </c>
      <c r="P20" s="22">
        <f t="shared" si="0"/>
        <v>0.58823529411764708</v>
      </c>
      <c r="Q20" s="22">
        <f t="shared" si="1"/>
        <v>-4.6089784275654786</v>
      </c>
    </row>
    <row r="21" spans="1:17" x14ac:dyDescent="0.35">
      <c r="A21">
        <v>1.5488166189999999</v>
      </c>
      <c r="B21">
        <v>-2.1913499999999999</v>
      </c>
      <c r="C21">
        <v>-17.434899999999999</v>
      </c>
      <c r="M21" s="20">
        <v>300000</v>
      </c>
      <c r="N21" s="21">
        <v>0.89200000000000002</v>
      </c>
      <c r="O21" s="21">
        <v>0.36</v>
      </c>
      <c r="P21" s="22">
        <f t="shared" si="0"/>
        <v>0.40358744394618834</v>
      </c>
      <c r="Q21" s="22">
        <f t="shared" si="1"/>
        <v>-7.8812470721767163</v>
      </c>
    </row>
    <row r="22" spans="1:17" x14ac:dyDescent="0.35">
      <c r="A22">
        <v>1.584893192</v>
      </c>
      <c r="B22">
        <v>-2.0019300000000002</v>
      </c>
      <c r="C22">
        <v>-17.051600000000001</v>
      </c>
      <c r="M22" s="20">
        <v>500000</v>
      </c>
      <c r="N22" s="21">
        <v>0.88400000000000001</v>
      </c>
      <c r="O22" s="21">
        <v>0.24</v>
      </c>
      <c r="P22" s="22">
        <f t="shared" si="0"/>
        <v>0.27149321266968324</v>
      </c>
      <c r="Q22" s="22">
        <f t="shared" si="1"/>
        <v>-11.324820466029342</v>
      </c>
    </row>
    <row r="23" spans="1:17" x14ac:dyDescent="0.35">
      <c r="A23">
        <v>1.621810097</v>
      </c>
      <c r="B23">
        <v>-1.8129900000000001</v>
      </c>
      <c r="C23">
        <v>-16.669</v>
      </c>
      <c r="M23" s="20">
        <v>1000000</v>
      </c>
      <c r="N23" s="21">
        <v>0.88800000000000001</v>
      </c>
      <c r="O23" s="21">
        <v>0.14000000000000001</v>
      </c>
      <c r="P23" s="22">
        <f t="shared" si="0"/>
        <v>0.15765765765765766</v>
      </c>
      <c r="Q23" s="22">
        <f t="shared" si="1"/>
        <v>-16.04569860200726</v>
      </c>
    </row>
    <row r="24" spans="1:17" x14ac:dyDescent="0.35">
      <c r="A24">
        <v>1.659586907</v>
      </c>
      <c r="B24">
        <v>-1.62453</v>
      </c>
      <c r="C24">
        <v>-16.287199999999999</v>
      </c>
    </row>
    <row r="25" spans="1:17" x14ac:dyDescent="0.35">
      <c r="A25">
        <v>1.6982436519999999</v>
      </c>
      <c r="B25">
        <v>-1.43658</v>
      </c>
      <c r="C25">
        <v>-15.9063</v>
      </c>
    </row>
    <row r="26" spans="1:17" ht="43.5" x14ac:dyDescent="0.35">
      <c r="A26">
        <v>1.737800829</v>
      </c>
      <c r="B26">
        <v>-1.2491699999999999</v>
      </c>
      <c r="C26">
        <v>-15.526199999999999</v>
      </c>
      <c r="M26" s="19" t="s">
        <v>84</v>
      </c>
      <c r="N26" s="19" t="s">
        <v>89</v>
      </c>
      <c r="O26" s="19" t="s">
        <v>90</v>
      </c>
      <c r="P26" s="19" t="s">
        <v>91</v>
      </c>
      <c r="Q26" s="19" t="s">
        <v>172</v>
      </c>
    </row>
    <row r="27" spans="1:17" x14ac:dyDescent="0.35">
      <c r="A27">
        <v>1.7782794099999999</v>
      </c>
      <c r="B27">
        <v>-1.0623100000000001</v>
      </c>
      <c r="C27">
        <v>-15.1469</v>
      </c>
      <c r="M27" s="20">
        <v>1</v>
      </c>
      <c r="N27" s="21">
        <v>0.88</v>
      </c>
      <c r="O27" s="21">
        <v>0.08</v>
      </c>
      <c r="P27" s="22">
        <f t="shared" ref="P27:P48" si="2">IF(OR(N27="",O27=""),"",O27/N27)</f>
        <v>9.0909090909090912E-2</v>
      </c>
      <c r="Q27" s="22">
        <f t="shared" ref="Q27:Q48" si="3">IF(P27="","",20*LOG10(ABS(P27)))</f>
        <v>-20.8278537031645</v>
      </c>
    </row>
    <row r="28" spans="1:17" x14ac:dyDescent="0.35">
      <c r="A28">
        <v>1.8197008589999999</v>
      </c>
      <c r="B28">
        <v>-0.87602999999999998</v>
      </c>
      <c r="C28">
        <v>-14.768599999999999</v>
      </c>
      <c r="M28" s="20">
        <v>3</v>
      </c>
      <c r="N28" s="21">
        <v>0.876</v>
      </c>
      <c r="O28" s="21">
        <v>0.42</v>
      </c>
      <c r="P28" s="22">
        <f t="shared" si="2"/>
        <v>0.47945205479452052</v>
      </c>
      <c r="Q28" s="22">
        <f t="shared" si="3"/>
        <v>-6.3850963154036053</v>
      </c>
    </row>
    <row r="29" spans="1:17" x14ac:dyDescent="0.35">
      <c r="A29">
        <v>1.8620871370000001</v>
      </c>
      <c r="B29">
        <v>-0.69034799999999996</v>
      </c>
      <c r="C29">
        <v>-14.391299999999999</v>
      </c>
      <c r="M29" s="20">
        <v>5</v>
      </c>
      <c r="N29" s="21">
        <v>0.876</v>
      </c>
      <c r="O29" s="21">
        <v>0.94</v>
      </c>
      <c r="P29" s="22">
        <f t="shared" si="2"/>
        <v>1.0730593607305936</v>
      </c>
      <c r="Q29" s="22">
        <f t="shared" si="3"/>
        <v>0.61247494863235863</v>
      </c>
    </row>
    <row r="30" spans="1:17" x14ac:dyDescent="0.35">
      <c r="A30">
        <v>1.9054607180000001</v>
      </c>
      <c r="B30">
        <v>-0.50529000000000002</v>
      </c>
      <c r="C30">
        <v>-14.015000000000001</v>
      </c>
      <c r="M30" s="20">
        <v>10</v>
      </c>
      <c r="N30" s="21">
        <v>0.876</v>
      </c>
      <c r="O30" s="21">
        <v>1.94</v>
      </c>
      <c r="P30" s="22">
        <f t="shared" si="2"/>
        <v>2.2146118721461185</v>
      </c>
      <c r="Q30" s="22">
        <f t="shared" si="3"/>
        <v>6.9059524752429056</v>
      </c>
    </row>
    <row r="31" spans="1:17" x14ac:dyDescent="0.35">
      <c r="A31">
        <v>1.9498446</v>
      </c>
      <c r="B31">
        <v>-0.32088100000000003</v>
      </c>
      <c r="C31">
        <v>-13.639699999999999</v>
      </c>
      <c r="M31" s="20">
        <v>30</v>
      </c>
      <c r="N31" s="21">
        <v>0.876</v>
      </c>
      <c r="O31" s="21">
        <v>2.74</v>
      </c>
      <c r="P31" s="22">
        <f t="shared" si="2"/>
        <v>3.127853881278539</v>
      </c>
      <c r="Q31" s="22">
        <f t="shared" si="3"/>
        <v>9.9049291330461458</v>
      </c>
    </row>
    <row r="32" spans="1:17" x14ac:dyDescent="0.35">
      <c r="A32">
        <v>1.995262315</v>
      </c>
      <c r="B32">
        <v>-0.13714799999999999</v>
      </c>
      <c r="C32">
        <v>-13.265499999999999</v>
      </c>
      <c r="M32" s="20">
        <v>50</v>
      </c>
      <c r="N32" s="21">
        <v>0.872</v>
      </c>
      <c r="O32" s="21">
        <v>2.86</v>
      </c>
      <c r="P32" s="22">
        <f t="shared" si="2"/>
        <v>3.2798165137614679</v>
      </c>
      <c r="Q32" s="22">
        <f t="shared" si="3"/>
        <v>10.316990963929516</v>
      </c>
    </row>
    <row r="33" spans="1:17" x14ac:dyDescent="0.35">
      <c r="A33">
        <v>2.0417379449999999</v>
      </c>
      <c r="B33">
        <v>4.58847E-2</v>
      </c>
      <c r="C33">
        <v>-12.8924</v>
      </c>
      <c r="M33" s="20">
        <v>100</v>
      </c>
      <c r="N33" s="21">
        <v>0.872</v>
      </c>
      <c r="O33" s="21">
        <v>2.94</v>
      </c>
      <c r="P33" s="22">
        <f t="shared" si="2"/>
        <v>3.3715596330275228</v>
      </c>
      <c r="Q33" s="22">
        <f t="shared" si="3"/>
        <v>10.556616909591801</v>
      </c>
    </row>
    <row r="34" spans="1:17" x14ac:dyDescent="0.35">
      <c r="A34">
        <v>2.0892961309999998</v>
      </c>
      <c r="B34">
        <v>0.228188</v>
      </c>
      <c r="C34">
        <v>-12.5205</v>
      </c>
      <c r="M34" s="20">
        <v>300</v>
      </c>
      <c r="N34" s="21">
        <v>0.872</v>
      </c>
      <c r="O34" s="21">
        <v>2.96</v>
      </c>
      <c r="P34" s="22">
        <f t="shared" si="2"/>
        <v>3.3944954128440368</v>
      </c>
      <c r="Q34" s="22">
        <f t="shared" si="3"/>
        <v>10.615504522527427</v>
      </c>
    </row>
    <row r="35" spans="1:17" x14ac:dyDescent="0.35">
      <c r="A35">
        <v>2.1379620899999998</v>
      </c>
      <c r="B35">
        <v>0.40973500000000002</v>
      </c>
      <c r="C35">
        <v>-12.149800000000001</v>
      </c>
      <c r="M35" s="20">
        <v>440</v>
      </c>
      <c r="N35" s="31">
        <v>0.872</v>
      </c>
      <c r="O35" s="33">
        <v>2.98</v>
      </c>
      <c r="P35" s="22">
        <f t="shared" si="2"/>
        <v>3.4174311926605503</v>
      </c>
      <c r="Q35" s="22">
        <f t="shared" si="3"/>
        <v>10.673995582873758</v>
      </c>
    </row>
    <row r="36" spans="1:17" x14ac:dyDescent="0.35">
      <c r="A36">
        <v>2.1877616240000002</v>
      </c>
      <c r="B36">
        <v>0.59049499999999999</v>
      </c>
      <c r="C36">
        <v>-11.7804</v>
      </c>
      <c r="M36" s="20">
        <v>500</v>
      </c>
      <c r="N36" s="21">
        <v>0.872</v>
      </c>
      <c r="O36" s="21">
        <v>2.98</v>
      </c>
      <c r="P36" s="22">
        <f t="shared" si="2"/>
        <v>3.4174311926605503</v>
      </c>
      <c r="Q36" s="22">
        <f t="shared" si="3"/>
        <v>10.673995582873758</v>
      </c>
    </row>
    <row r="37" spans="1:17" x14ac:dyDescent="0.35">
      <c r="A37">
        <v>2.2387211389999999</v>
      </c>
      <c r="B37">
        <v>0.77044000000000001</v>
      </c>
      <c r="C37">
        <v>-11.4122</v>
      </c>
      <c r="M37" s="20">
        <v>1000</v>
      </c>
      <c r="N37" s="25">
        <v>0.872</v>
      </c>
      <c r="O37" s="25">
        <v>2.98</v>
      </c>
      <c r="P37" s="22">
        <f t="shared" si="2"/>
        <v>3.4174311926605503</v>
      </c>
      <c r="Q37" s="22">
        <f t="shared" si="3"/>
        <v>10.673995582873758</v>
      </c>
    </row>
    <row r="38" spans="1:17" x14ac:dyDescent="0.35">
      <c r="A38">
        <v>2.2908676529999998</v>
      </c>
      <c r="B38">
        <v>0.94953900000000002</v>
      </c>
      <c r="C38">
        <v>-11.045500000000001</v>
      </c>
      <c r="M38" s="20">
        <v>3000</v>
      </c>
      <c r="N38" s="21">
        <v>0.872</v>
      </c>
      <c r="O38" s="21">
        <v>2.96</v>
      </c>
      <c r="P38" s="22">
        <f t="shared" si="2"/>
        <v>3.3944954128440368</v>
      </c>
      <c r="Q38" s="22">
        <f t="shared" si="3"/>
        <v>10.615504522527427</v>
      </c>
    </row>
    <row r="39" spans="1:17" x14ac:dyDescent="0.35">
      <c r="A39">
        <v>2.3442288150000001</v>
      </c>
      <c r="B39">
        <v>1.1277600000000001</v>
      </c>
      <c r="C39">
        <v>-10.680199999999999</v>
      </c>
      <c r="M39" s="20">
        <v>5000</v>
      </c>
      <c r="N39" s="21">
        <v>0.872</v>
      </c>
      <c r="O39" s="21">
        <v>2.92</v>
      </c>
      <c r="P39" s="22">
        <f t="shared" si="2"/>
        <v>3.3486238532110093</v>
      </c>
      <c r="Q39" s="22">
        <f t="shared" si="3"/>
        <v>10.49732733031702</v>
      </c>
    </row>
    <row r="40" spans="1:17" x14ac:dyDescent="0.35">
      <c r="A40">
        <v>2.3988329190000002</v>
      </c>
      <c r="B40">
        <v>1.30507</v>
      </c>
      <c r="C40">
        <v>-10.3164</v>
      </c>
      <c r="M40" s="20">
        <v>10000</v>
      </c>
      <c r="N40" s="26">
        <v>0.872</v>
      </c>
      <c r="O40" s="26">
        <v>2.8</v>
      </c>
      <c r="P40" s="27">
        <f t="shared" si="2"/>
        <v>3.2110091743119265</v>
      </c>
      <c r="Q40" s="27">
        <f t="shared" si="3"/>
        <v>10.132830928193039</v>
      </c>
    </row>
    <row r="41" spans="1:17" x14ac:dyDescent="0.35">
      <c r="A41">
        <v>2.454708916</v>
      </c>
      <c r="B41">
        <v>1.4814400000000001</v>
      </c>
      <c r="C41">
        <v>-9.9540699999999998</v>
      </c>
      <c r="M41" s="20">
        <v>20000</v>
      </c>
      <c r="N41" s="21">
        <v>0.86799999999999999</v>
      </c>
      <c r="O41" s="21">
        <v>2.44</v>
      </c>
      <c r="P41" s="22">
        <f t="shared" si="2"/>
        <v>2.8110599078341014</v>
      </c>
      <c r="Q41" s="22">
        <f t="shared" si="3"/>
        <v>8.9774020232447498</v>
      </c>
    </row>
    <row r="42" spans="1:17" x14ac:dyDescent="0.35">
      <c r="A42">
        <v>2.5118864319999998</v>
      </c>
      <c r="B42">
        <v>1.65683</v>
      </c>
      <c r="C42">
        <v>-9.5933600000000006</v>
      </c>
      <c r="M42" s="20">
        <v>30000</v>
      </c>
      <c r="N42" s="21">
        <v>0.86799999999999999</v>
      </c>
      <c r="O42" s="21">
        <v>2.1</v>
      </c>
      <c r="P42" s="22">
        <f t="shared" si="2"/>
        <v>2.4193548387096775</v>
      </c>
      <c r="Q42" s="22">
        <f t="shared" si="3"/>
        <v>7.6739913911485482</v>
      </c>
    </row>
    <row r="43" spans="1:17" x14ac:dyDescent="0.35">
      <c r="A43">
        <v>2.5703957829999999</v>
      </c>
      <c r="B43">
        <v>1.83121</v>
      </c>
      <c r="C43">
        <v>-9.2342999999999993</v>
      </c>
      <c r="M43" s="20">
        <v>50000</v>
      </c>
      <c r="N43" s="21">
        <v>0.872</v>
      </c>
      <c r="O43" s="21">
        <v>1.58</v>
      </c>
      <c r="P43" s="22">
        <f t="shared" si="2"/>
        <v>1.8119266055045873</v>
      </c>
      <c r="Q43" s="22">
        <f t="shared" si="3"/>
        <v>5.1628120404371094</v>
      </c>
    </row>
    <row r="44" spans="1:17" x14ac:dyDescent="0.35">
      <c r="A44">
        <v>2.6302679919999998</v>
      </c>
      <c r="B44">
        <v>2.0045500000000001</v>
      </c>
      <c r="C44">
        <v>-8.8769500000000008</v>
      </c>
      <c r="M44" s="20">
        <v>100000</v>
      </c>
      <c r="N44" s="21">
        <v>0.88</v>
      </c>
      <c r="O44" s="21">
        <v>0.96</v>
      </c>
      <c r="P44" s="22">
        <f t="shared" si="2"/>
        <v>1.0909090909090908</v>
      </c>
      <c r="Q44" s="22">
        <f t="shared" si="3"/>
        <v>0.75577121778799505</v>
      </c>
    </row>
    <row r="45" spans="1:17" x14ac:dyDescent="0.35">
      <c r="A45">
        <v>2.6915348039999998</v>
      </c>
      <c r="B45">
        <v>2.1768000000000001</v>
      </c>
      <c r="C45">
        <v>-8.5213699999999992</v>
      </c>
      <c r="M45" s="20">
        <v>200000</v>
      </c>
      <c r="N45" s="21"/>
      <c r="O45" s="21"/>
      <c r="P45" s="22" t="str">
        <f t="shared" si="2"/>
        <v/>
      </c>
      <c r="Q45" s="22" t="str">
        <f t="shared" si="3"/>
        <v/>
      </c>
    </row>
    <row r="46" spans="1:17" x14ac:dyDescent="0.35">
      <c r="A46">
        <v>2.7542287029999999</v>
      </c>
      <c r="B46">
        <v>2.3479299999999999</v>
      </c>
      <c r="C46">
        <v>-8.1676300000000008</v>
      </c>
      <c r="M46" s="20">
        <v>300000</v>
      </c>
      <c r="N46" s="21"/>
      <c r="O46" s="21"/>
      <c r="P46" s="22" t="str">
        <f t="shared" si="2"/>
        <v/>
      </c>
      <c r="Q46" s="22" t="str">
        <f t="shared" si="3"/>
        <v/>
      </c>
    </row>
    <row r="47" spans="1:17" x14ac:dyDescent="0.35">
      <c r="A47">
        <v>2.8183829309999999</v>
      </c>
      <c r="B47">
        <v>2.5179100000000001</v>
      </c>
      <c r="C47">
        <v>-7.8157899999999998</v>
      </c>
      <c r="M47" s="20">
        <v>500000</v>
      </c>
      <c r="N47" s="21"/>
      <c r="O47" s="21"/>
      <c r="P47" s="22" t="str">
        <f t="shared" si="2"/>
        <v/>
      </c>
      <c r="Q47" s="22" t="str">
        <f t="shared" si="3"/>
        <v/>
      </c>
    </row>
    <row r="48" spans="1:17" x14ac:dyDescent="0.35">
      <c r="A48">
        <v>2.8840315030000001</v>
      </c>
      <c r="B48">
        <v>2.68669</v>
      </c>
      <c r="C48">
        <v>-7.4659199999999997</v>
      </c>
      <c r="M48" s="20">
        <v>1000000</v>
      </c>
      <c r="N48" s="21"/>
      <c r="O48" s="21"/>
      <c r="P48" s="22" t="str">
        <f t="shared" si="2"/>
        <v/>
      </c>
      <c r="Q48" s="22" t="str">
        <f t="shared" si="3"/>
        <v/>
      </c>
    </row>
    <row r="49" spans="1:3" x14ac:dyDescent="0.35">
      <c r="A49">
        <v>2.9512092270000001</v>
      </c>
      <c r="B49">
        <v>2.85425</v>
      </c>
      <c r="C49">
        <v>-7.1180899999999996</v>
      </c>
    </row>
    <row r="50" spans="1:3" x14ac:dyDescent="0.35">
      <c r="A50">
        <v>3.0199517199999999</v>
      </c>
      <c r="B50">
        <v>3.0205299999999999</v>
      </c>
      <c r="C50">
        <v>-6.7723599999999999</v>
      </c>
    </row>
    <row r="51" spans="1:3" x14ac:dyDescent="0.35">
      <c r="A51">
        <v>3.0902954330000001</v>
      </c>
      <c r="B51">
        <v>3.1855000000000002</v>
      </c>
      <c r="C51">
        <v>-6.4287999999999998</v>
      </c>
    </row>
    <row r="52" spans="1:3" x14ac:dyDescent="0.35">
      <c r="A52">
        <v>3.16227766</v>
      </c>
      <c r="B52">
        <v>3.34911</v>
      </c>
      <c r="C52">
        <v>-6.0874899999999998</v>
      </c>
    </row>
    <row r="53" spans="1:3" x14ac:dyDescent="0.35">
      <c r="A53">
        <v>3.2359365690000002</v>
      </c>
      <c r="B53">
        <v>3.5113400000000001</v>
      </c>
      <c r="C53">
        <v>-5.7484999999999999</v>
      </c>
    </row>
    <row r="54" spans="1:3" x14ac:dyDescent="0.35">
      <c r="A54">
        <v>3.3113112149999999</v>
      </c>
      <c r="B54">
        <v>3.6721400000000002</v>
      </c>
      <c r="C54">
        <v>-5.4119099999999998</v>
      </c>
    </row>
    <row r="55" spans="1:3" x14ac:dyDescent="0.35">
      <c r="A55">
        <v>3.388441561</v>
      </c>
      <c r="B55">
        <v>3.8314699999999999</v>
      </c>
      <c r="C55">
        <v>-5.0777799999999997</v>
      </c>
    </row>
    <row r="56" spans="1:3" x14ac:dyDescent="0.35">
      <c r="A56">
        <v>3.467368505</v>
      </c>
      <c r="B56">
        <v>3.9892799999999999</v>
      </c>
      <c r="C56">
        <v>-4.7462</v>
      </c>
    </row>
    <row r="57" spans="1:3" x14ac:dyDescent="0.35">
      <c r="A57">
        <v>3.5481338920000001</v>
      </c>
      <c r="B57">
        <v>4.1455399999999996</v>
      </c>
      <c r="C57">
        <v>-4.4172399999999996</v>
      </c>
    </row>
    <row r="58" spans="1:3" x14ac:dyDescent="0.35">
      <c r="A58">
        <v>3.6307805480000002</v>
      </c>
      <c r="B58">
        <v>4.3002099999999999</v>
      </c>
      <c r="C58">
        <v>-4.0909800000000001</v>
      </c>
    </row>
    <row r="59" spans="1:3" x14ac:dyDescent="0.35">
      <c r="A59">
        <v>3.7153522909999999</v>
      </c>
      <c r="B59">
        <v>4.4532400000000001</v>
      </c>
      <c r="C59">
        <v>-3.76749</v>
      </c>
    </row>
    <row r="60" spans="1:3" x14ac:dyDescent="0.35">
      <c r="A60">
        <v>3.8018939629999999</v>
      </c>
      <c r="B60">
        <v>4.6045999999999996</v>
      </c>
      <c r="C60">
        <v>-3.44685</v>
      </c>
    </row>
    <row r="61" spans="1:3" x14ac:dyDescent="0.35">
      <c r="A61">
        <v>3.89045145</v>
      </c>
      <c r="B61">
        <v>4.7542499999999999</v>
      </c>
      <c r="C61">
        <v>-3.1291500000000001</v>
      </c>
    </row>
    <row r="62" spans="1:3" x14ac:dyDescent="0.35">
      <c r="A62">
        <v>3.9810717059999998</v>
      </c>
      <c r="B62">
        <v>4.9021299999999997</v>
      </c>
      <c r="C62">
        <v>-2.8144499999999999</v>
      </c>
    </row>
    <row r="63" spans="1:3" x14ac:dyDescent="0.35">
      <c r="A63">
        <v>4.0738027780000001</v>
      </c>
      <c r="B63">
        <v>5.0482300000000002</v>
      </c>
      <c r="C63">
        <v>-2.50285</v>
      </c>
    </row>
    <row r="64" spans="1:3" x14ac:dyDescent="0.35">
      <c r="A64">
        <v>4.168693835</v>
      </c>
      <c r="B64">
        <v>5.1924900000000003</v>
      </c>
      <c r="C64">
        <v>-2.19441</v>
      </c>
    </row>
    <row r="65" spans="1:3" x14ac:dyDescent="0.35">
      <c r="A65">
        <v>4.2657951880000002</v>
      </c>
      <c r="B65">
        <v>5.3348899999999997</v>
      </c>
      <c r="C65">
        <v>-1.8892100000000001</v>
      </c>
    </row>
    <row r="66" spans="1:3" x14ac:dyDescent="0.35">
      <c r="A66">
        <v>4.3651583220000001</v>
      </c>
      <c r="B66">
        <v>5.4753699999999998</v>
      </c>
      <c r="C66">
        <v>-1.58734</v>
      </c>
    </row>
    <row r="67" spans="1:3" x14ac:dyDescent="0.35">
      <c r="A67">
        <v>4.4668359219999996</v>
      </c>
      <c r="B67">
        <v>5.6139200000000002</v>
      </c>
      <c r="C67">
        <v>-1.2888599999999999</v>
      </c>
    </row>
    <row r="68" spans="1:3" x14ac:dyDescent="0.35">
      <c r="A68">
        <v>4.5708818960000004</v>
      </c>
      <c r="B68">
        <v>5.7504900000000001</v>
      </c>
      <c r="C68">
        <v>-0.99385299999999999</v>
      </c>
    </row>
    <row r="69" spans="1:3" x14ac:dyDescent="0.35">
      <c r="A69">
        <v>4.6773514130000002</v>
      </c>
      <c r="B69">
        <v>5.88504</v>
      </c>
      <c r="C69">
        <v>-0.70239600000000002</v>
      </c>
    </row>
    <row r="70" spans="1:3" x14ac:dyDescent="0.35">
      <c r="A70">
        <v>4.7863009229999998</v>
      </c>
      <c r="B70">
        <v>6.0175599999999996</v>
      </c>
      <c r="C70">
        <v>-0.41455900000000001</v>
      </c>
    </row>
    <row r="71" spans="1:3" x14ac:dyDescent="0.35">
      <c r="A71">
        <v>4.8977881940000003</v>
      </c>
      <c r="B71">
        <v>6.1479999999999997</v>
      </c>
      <c r="C71">
        <v>-0.130414</v>
      </c>
    </row>
    <row r="72" spans="1:3" x14ac:dyDescent="0.35">
      <c r="A72">
        <v>5.0118723359999997</v>
      </c>
      <c r="B72">
        <v>6.2763400000000003</v>
      </c>
      <c r="C72">
        <v>0.14996899999999999</v>
      </c>
    </row>
    <row r="73" spans="1:3" x14ac:dyDescent="0.35">
      <c r="A73">
        <v>5.1286138399999999</v>
      </c>
      <c r="B73">
        <v>6.4025400000000001</v>
      </c>
      <c r="C73">
        <v>0.42652400000000001</v>
      </c>
    </row>
    <row r="74" spans="1:3" x14ac:dyDescent="0.35">
      <c r="A74">
        <v>5.248074602</v>
      </c>
      <c r="B74">
        <v>6.5266000000000002</v>
      </c>
      <c r="C74">
        <v>0.699183</v>
      </c>
    </row>
    <row r="75" spans="1:3" x14ac:dyDescent="0.35">
      <c r="A75">
        <v>5.3703179639999998</v>
      </c>
      <c r="B75">
        <v>6.6484699999999997</v>
      </c>
      <c r="C75">
        <v>0.96788399999999997</v>
      </c>
    </row>
    <row r="76" spans="1:3" x14ac:dyDescent="0.35">
      <c r="A76">
        <v>5.4954087390000002</v>
      </c>
      <c r="B76">
        <v>6.7681300000000002</v>
      </c>
      <c r="C76">
        <v>1.2325699999999999</v>
      </c>
    </row>
    <row r="77" spans="1:3" x14ac:dyDescent="0.35">
      <c r="A77">
        <v>5.6234132519999998</v>
      </c>
      <c r="B77">
        <v>6.88558</v>
      </c>
      <c r="C77">
        <v>1.4931700000000001</v>
      </c>
    </row>
    <row r="78" spans="1:3" x14ac:dyDescent="0.35">
      <c r="A78">
        <v>5.754399373</v>
      </c>
      <c r="B78">
        <v>7.0007900000000003</v>
      </c>
      <c r="C78">
        <v>1.7496400000000001</v>
      </c>
    </row>
    <row r="79" spans="1:3" x14ac:dyDescent="0.35">
      <c r="A79">
        <v>5.8884365540000001</v>
      </c>
      <c r="B79">
        <v>7.11374</v>
      </c>
      <c r="C79">
        <v>2.0019300000000002</v>
      </c>
    </row>
    <row r="80" spans="1:3" x14ac:dyDescent="0.35">
      <c r="A80">
        <v>6.0255958610000002</v>
      </c>
      <c r="B80">
        <v>7.2244200000000003</v>
      </c>
      <c r="C80">
        <v>2.2499799999999999</v>
      </c>
    </row>
    <row r="81" spans="1:3" x14ac:dyDescent="0.35">
      <c r="A81">
        <v>6.1659500190000003</v>
      </c>
      <c r="B81">
        <v>7.3328199999999999</v>
      </c>
      <c r="C81">
        <v>2.49376</v>
      </c>
    </row>
    <row r="82" spans="1:3" x14ac:dyDescent="0.35">
      <c r="A82">
        <v>6.3095734449999998</v>
      </c>
      <c r="B82">
        <v>7.43893</v>
      </c>
      <c r="C82">
        <v>2.7332200000000002</v>
      </c>
    </row>
    <row r="83" spans="1:3" x14ac:dyDescent="0.35">
      <c r="A83">
        <v>6.4565422899999998</v>
      </c>
      <c r="B83">
        <v>7.5427400000000002</v>
      </c>
      <c r="C83">
        <v>2.9683199999999998</v>
      </c>
    </row>
    <row r="84" spans="1:3" x14ac:dyDescent="0.35">
      <c r="A84">
        <v>6.6069344799999996</v>
      </c>
      <c r="B84">
        <v>7.6442600000000001</v>
      </c>
      <c r="C84">
        <v>3.19902</v>
      </c>
    </row>
    <row r="85" spans="1:3" x14ac:dyDescent="0.35">
      <c r="A85">
        <v>6.7608297540000004</v>
      </c>
      <c r="B85">
        <v>7.7434700000000003</v>
      </c>
      <c r="C85">
        <v>3.4253100000000001</v>
      </c>
    </row>
    <row r="86" spans="1:3" x14ac:dyDescent="0.35">
      <c r="A86">
        <v>6.9183097089999999</v>
      </c>
      <c r="B86">
        <v>7.8403799999999997</v>
      </c>
      <c r="C86">
        <v>3.6471499999999999</v>
      </c>
    </row>
    <row r="87" spans="1:3" x14ac:dyDescent="0.35">
      <c r="A87">
        <v>7.0794578440000002</v>
      </c>
      <c r="B87">
        <v>7.9349999999999996</v>
      </c>
      <c r="C87">
        <v>3.8645100000000001</v>
      </c>
    </row>
    <row r="88" spans="1:3" x14ac:dyDescent="0.35">
      <c r="A88">
        <v>7.2443596010000002</v>
      </c>
      <c r="B88">
        <v>8.0273199999999996</v>
      </c>
      <c r="C88">
        <v>4.0773999999999999</v>
      </c>
    </row>
    <row r="89" spans="1:3" x14ac:dyDescent="0.35">
      <c r="A89">
        <v>7.4131024129999998</v>
      </c>
      <c r="B89">
        <v>8.1173599999999997</v>
      </c>
      <c r="C89">
        <v>4.2857799999999999</v>
      </c>
    </row>
    <row r="90" spans="1:3" x14ac:dyDescent="0.35">
      <c r="A90">
        <v>7.5857757499999998</v>
      </c>
      <c r="B90">
        <v>8.2051300000000005</v>
      </c>
      <c r="C90">
        <v>4.4896599999999998</v>
      </c>
    </row>
    <row r="91" spans="1:3" x14ac:dyDescent="0.35">
      <c r="A91">
        <v>7.7624711660000001</v>
      </c>
      <c r="B91">
        <v>8.2906300000000002</v>
      </c>
      <c r="C91">
        <v>4.6890200000000002</v>
      </c>
    </row>
    <row r="92" spans="1:3" x14ac:dyDescent="0.35">
      <c r="A92">
        <v>7.9432823470000002</v>
      </c>
      <c r="B92">
        <v>8.3739000000000008</v>
      </c>
      <c r="C92">
        <v>4.8838800000000004</v>
      </c>
    </row>
    <row r="93" spans="1:3" x14ac:dyDescent="0.35">
      <c r="A93">
        <v>8.1283051620000002</v>
      </c>
      <c r="B93">
        <v>8.4549299999999992</v>
      </c>
      <c r="C93">
        <v>5.07423</v>
      </c>
    </row>
    <row r="94" spans="1:3" x14ac:dyDescent="0.35">
      <c r="A94">
        <v>8.3176377109999997</v>
      </c>
      <c r="B94">
        <v>8.5337499999999995</v>
      </c>
      <c r="C94">
        <v>5.2600899999999999</v>
      </c>
    </row>
    <row r="95" spans="1:3" x14ac:dyDescent="0.35">
      <c r="A95">
        <v>8.5113803820000005</v>
      </c>
      <c r="B95">
        <v>8.6103900000000007</v>
      </c>
      <c r="C95">
        <v>5.4414600000000002</v>
      </c>
    </row>
    <row r="96" spans="1:3" x14ac:dyDescent="0.35">
      <c r="A96">
        <v>8.7096359000000003</v>
      </c>
      <c r="B96">
        <v>8.6848600000000005</v>
      </c>
      <c r="C96">
        <v>5.6183699999999996</v>
      </c>
    </row>
    <row r="97" spans="1:3" x14ac:dyDescent="0.35">
      <c r="A97">
        <v>8.9125093809999996</v>
      </c>
      <c r="B97">
        <v>8.7571999999999992</v>
      </c>
      <c r="C97">
        <v>5.7908400000000002</v>
      </c>
    </row>
    <row r="98" spans="1:3" x14ac:dyDescent="0.35">
      <c r="A98">
        <v>9.1201083940000007</v>
      </c>
      <c r="B98">
        <v>8.82742</v>
      </c>
      <c r="C98">
        <v>5.9588999999999999</v>
      </c>
    </row>
    <row r="99" spans="1:3" x14ac:dyDescent="0.35">
      <c r="A99">
        <v>9.332543008</v>
      </c>
      <c r="B99">
        <v>8.8955599999999997</v>
      </c>
      <c r="C99">
        <v>6.1225699999999996</v>
      </c>
    </row>
    <row r="100" spans="1:3" x14ac:dyDescent="0.35">
      <c r="A100">
        <v>9.5499258600000001</v>
      </c>
      <c r="B100">
        <v>8.9616500000000006</v>
      </c>
      <c r="C100">
        <v>6.2818899999999998</v>
      </c>
    </row>
    <row r="101" spans="1:3" x14ac:dyDescent="0.35">
      <c r="A101">
        <v>9.7723722100000003</v>
      </c>
      <c r="B101">
        <v>9.0257199999999997</v>
      </c>
      <c r="C101">
        <v>6.4369100000000001</v>
      </c>
    </row>
    <row r="102" spans="1:3" x14ac:dyDescent="0.35">
      <c r="A102">
        <v>10</v>
      </c>
      <c r="B102">
        <v>9.0877999999999997</v>
      </c>
      <c r="C102">
        <v>6.5876599999999996</v>
      </c>
    </row>
    <row r="103" spans="1:3" x14ac:dyDescent="0.35">
      <c r="A103">
        <v>10.23292992</v>
      </c>
      <c r="B103">
        <v>9.1479300000000006</v>
      </c>
      <c r="C103">
        <v>6.7341899999999999</v>
      </c>
    </row>
    <row r="104" spans="1:3" x14ac:dyDescent="0.35">
      <c r="A104">
        <v>10.471285480000001</v>
      </c>
      <c r="B104">
        <v>9.2061399999999995</v>
      </c>
      <c r="C104">
        <v>6.8765599999999996</v>
      </c>
    </row>
    <row r="105" spans="1:3" x14ac:dyDescent="0.35">
      <c r="A105">
        <v>10.71519305</v>
      </c>
      <c r="B105">
        <v>9.2624700000000004</v>
      </c>
      <c r="C105">
        <v>7.0148000000000001</v>
      </c>
    </row>
    <row r="106" spans="1:3" x14ac:dyDescent="0.35">
      <c r="A106">
        <v>10.96478196</v>
      </c>
      <c r="B106">
        <v>9.3169500000000003</v>
      </c>
      <c r="C106">
        <v>7.1489799999999999</v>
      </c>
    </row>
    <row r="107" spans="1:3" x14ac:dyDescent="0.35">
      <c r="A107">
        <v>11.22018454</v>
      </c>
      <c r="B107">
        <v>9.3696300000000008</v>
      </c>
      <c r="C107">
        <v>7.2791600000000001</v>
      </c>
    </row>
    <row r="108" spans="1:3" x14ac:dyDescent="0.35">
      <c r="A108">
        <v>11.48153621</v>
      </c>
      <c r="B108">
        <v>9.4205400000000008</v>
      </c>
      <c r="C108">
        <v>7.4054000000000002</v>
      </c>
    </row>
    <row r="109" spans="1:3" x14ac:dyDescent="0.35">
      <c r="A109">
        <v>11.748975550000001</v>
      </c>
      <c r="B109">
        <v>9.4697300000000002</v>
      </c>
      <c r="C109">
        <v>7.5277700000000003</v>
      </c>
    </row>
    <row r="110" spans="1:3" x14ac:dyDescent="0.35">
      <c r="A110">
        <v>12.02264435</v>
      </c>
      <c r="B110">
        <v>9.5172299999999996</v>
      </c>
      <c r="C110">
        <v>7.6463200000000002</v>
      </c>
    </row>
    <row r="111" spans="1:3" x14ac:dyDescent="0.35">
      <c r="A111">
        <v>12.302687710000001</v>
      </c>
      <c r="B111">
        <v>9.5630799999999994</v>
      </c>
      <c r="C111">
        <v>7.7611299999999996</v>
      </c>
    </row>
    <row r="112" spans="1:3" x14ac:dyDescent="0.35">
      <c r="A112">
        <v>12.58925412</v>
      </c>
      <c r="B112">
        <v>9.6073299999999993</v>
      </c>
      <c r="C112">
        <v>7.8722700000000003</v>
      </c>
    </row>
    <row r="113" spans="1:3" x14ac:dyDescent="0.35">
      <c r="A113">
        <v>12.882495520000001</v>
      </c>
      <c r="B113">
        <v>9.65001</v>
      </c>
      <c r="C113">
        <v>7.9798099999999996</v>
      </c>
    </row>
    <row r="114" spans="1:3" x14ac:dyDescent="0.35">
      <c r="A114">
        <v>13.182567390000001</v>
      </c>
      <c r="B114">
        <v>9.69116</v>
      </c>
      <c r="C114">
        <v>8.0838199999999993</v>
      </c>
    </row>
    <row r="115" spans="1:3" x14ac:dyDescent="0.35">
      <c r="A115">
        <v>13.489628829999999</v>
      </c>
      <c r="B115">
        <v>9.7308299999999992</v>
      </c>
      <c r="C115">
        <v>8.1843800000000009</v>
      </c>
    </row>
    <row r="116" spans="1:3" x14ac:dyDescent="0.35">
      <c r="A116">
        <v>13.80384265</v>
      </c>
      <c r="B116">
        <v>9.7690599999999996</v>
      </c>
      <c r="C116">
        <v>8.2815600000000007</v>
      </c>
    </row>
    <row r="117" spans="1:3" x14ac:dyDescent="0.35">
      <c r="A117">
        <v>14.12537545</v>
      </c>
      <c r="B117">
        <v>9.8058800000000002</v>
      </c>
      <c r="C117">
        <v>8.3754500000000007</v>
      </c>
    </row>
    <row r="118" spans="1:3" x14ac:dyDescent="0.35">
      <c r="A118">
        <v>14.45439771</v>
      </c>
      <c r="B118">
        <v>9.8413400000000006</v>
      </c>
      <c r="C118">
        <v>8.4661100000000005</v>
      </c>
    </row>
    <row r="119" spans="1:3" x14ac:dyDescent="0.35">
      <c r="A119">
        <v>14.79108388</v>
      </c>
      <c r="B119">
        <v>9.8754799999999996</v>
      </c>
      <c r="C119">
        <v>8.5536300000000001</v>
      </c>
    </row>
    <row r="120" spans="1:3" x14ac:dyDescent="0.35">
      <c r="A120">
        <v>15.135612480000001</v>
      </c>
      <c r="B120">
        <v>9.9083400000000008</v>
      </c>
      <c r="C120">
        <v>8.6380800000000004</v>
      </c>
    </row>
    <row r="121" spans="1:3" x14ac:dyDescent="0.35">
      <c r="A121">
        <v>15.488166189999999</v>
      </c>
      <c r="B121">
        <v>9.9399499999999996</v>
      </c>
      <c r="C121">
        <v>8.7195400000000003</v>
      </c>
    </row>
    <row r="122" spans="1:3" x14ac:dyDescent="0.35">
      <c r="A122">
        <v>15.84893192</v>
      </c>
      <c r="B122">
        <v>9.9703499999999998</v>
      </c>
      <c r="C122">
        <v>8.7980999999999998</v>
      </c>
    </row>
    <row r="123" spans="1:3" x14ac:dyDescent="0.35">
      <c r="A123">
        <v>16.218100969999998</v>
      </c>
      <c r="B123">
        <v>9.9995899999999995</v>
      </c>
      <c r="C123">
        <v>8.8738200000000003</v>
      </c>
    </row>
    <row r="124" spans="1:3" x14ac:dyDescent="0.35">
      <c r="A124">
        <v>16.595869069999999</v>
      </c>
      <c r="B124">
        <v>10.027699999999999</v>
      </c>
      <c r="C124">
        <v>8.94679</v>
      </c>
    </row>
    <row r="125" spans="1:3" x14ac:dyDescent="0.35">
      <c r="A125">
        <v>16.98243652</v>
      </c>
      <c r="B125">
        <v>10.0547</v>
      </c>
      <c r="C125">
        <v>9.01708</v>
      </c>
    </row>
    <row r="126" spans="1:3" x14ac:dyDescent="0.35">
      <c r="A126">
        <v>17.37800829</v>
      </c>
      <c r="B126">
        <v>10.0807</v>
      </c>
      <c r="C126">
        <v>9.0847800000000003</v>
      </c>
    </row>
    <row r="127" spans="1:3" x14ac:dyDescent="0.35">
      <c r="A127">
        <v>17.7827941</v>
      </c>
      <c r="B127">
        <v>10.105600000000001</v>
      </c>
      <c r="C127">
        <v>9.1499500000000005</v>
      </c>
    </row>
    <row r="128" spans="1:3" x14ac:dyDescent="0.35">
      <c r="A128">
        <v>18.197008589999999</v>
      </c>
      <c r="B128">
        <v>10.1295</v>
      </c>
      <c r="C128">
        <v>9.2126800000000006</v>
      </c>
    </row>
    <row r="129" spans="1:3" x14ac:dyDescent="0.35">
      <c r="A129">
        <v>18.62087137</v>
      </c>
      <c r="B129">
        <v>10.1525</v>
      </c>
      <c r="C129">
        <v>9.2730300000000003</v>
      </c>
    </row>
    <row r="130" spans="1:3" x14ac:dyDescent="0.35">
      <c r="A130">
        <v>19.054607180000001</v>
      </c>
      <c r="B130">
        <v>10.1746</v>
      </c>
      <c r="C130">
        <v>9.33108</v>
      </c>
    </row>
    <row r="131" spans="1:3" x14ac:dyDescent="0.35">
      <c r="A131">
        <v>19.498446000000001</v>
      </c>
      <c r="B131">
        <v>10.1958</v>
      </c>
      <c r="C131">
        <v>9.3869100000000003</v>
      </c>
    </row>
    <row r="132" spans="1:3" x14ac:dyDescent="0.35">
      <c r="A132">
        <v>19.952623150000001</v>
      </c>
      <c r="B132">
        <v>10.216100000000001</v>
      </c>
      <c r="C132">
        <v>9.4405800000000006</v>
      </c>
    </row>
    <row r="133" spans="1:3" x14ac:dyDescent="0.35">
      <c r="A133">
        <v>20.417379449999999</v>
      </c>
      <c r="B133">
        <v>10.2356</v>
      </c>
      <c r="C133">
        <v>9.4921600000000002</v>
      </c>
    </row>
    <row r="134" spans="1:3" x14ac:dyDescent="0.35">
      <c r="A134">
        <v>20.89296131</v>
      </c>
      <c r="B134">
        <v>10.254300000000001</v>
      </c>
      <c r="C134">
        <v>9.5417299999999994</v>
      </c>
    </row>
    <row r="135" spans="1:3" x14ac:dyDescent="0.35">
      <c r="A135">
        <v>21.379620899999999</v>
      </c>
      <c r="B135">
        <v>10.2723</v>
      </c>
      <c r="C135">
        <v>9.5893499999999996</v>
      </c>
    </row>
    <row r="136" spans="1:3" x14ac:dyDescent="0.35">
      <c r="A136">
        <v>21.877616239999998</v>
      </c>
      <c r="B136">
        <v>10.2895</v>
      </c>
      <c r="C136">
        <v>9.6350899999999999</v>
      </c>
    </row>
    <row r="137" spans="1:3" x14ac:dyDescent="0.35">
      <c r="A137">
        <v>22.387211390000001</v>
      </c>
      <c r="B137">
        <v>10.305899999999999</v>
      </c>
      <c r="C137">
        <v>9.6790099999999999</v>
      </c>
    </row>
    <row r="138" spans="1:3" x14ac:dyDescent="0.35">
      <c r="A138">
        <v>22.908676530000001</v>
      </c>
      <c r="B138">
        <v>10.3218</v>
      </c>
      <c r="C138">
        <v>9.7211700000000008</v>
      </c>
    </row>
    <row r="139" spans="1:3" x14ac:dyDescent="0.35">
      <c r="A139">
        <v>23.44228815</v>
      </c>
      <c r="B139">
        <v>10.3369</v>
      </c>
      <c r="C139">
        <v>9.7616399999999999</v>
      </c>
    </row>
    <row r="140" spans="1:3" x14ac:dyDescent="0.35">
      <c r="A140">
        <v>23.988329190000002</v>
      </c>
      <c r="B140">
        <v>10.3514</v>
      </c>
      <c r="C140">
        <v>9.8004700000000007</v>
      </c>
    </row>
    <row r="141" spans="1:3" x14ac:dyDescent="0.35">
      <c r="A141">
        <v>24.547089159999999</v>
      </c>
      <c r="B141">
        <v>10.3653</v>
      </c>
      <c r="C141">
        <v>9.8377400000000002</v>
      </c>
    </row>
    <row r="142" spans="1:3" x14ac:dyDescent="0.35">
      <c r="A142">
        <v>25.11886432</v>
      </c>
      <c r="B142">
        <v>10.3787</v>
      </c>
      <c r="C142">
        <v>9.8734800000000007</v>
      </c>
    </row>
    <row r="143" spans="1:3" x14ac:dyDescent="0.35">
      <c r="A143">
        <v>25.70395783</v>
      </c>
      <c r="B143">
        <v>10.391400000000001</v>
      </c>
      <c r="C143">
        <v>9.9077599999999997</v>
      </c>
    </row>
    <row r="144" spans="1:3" x14ac:dyDescent="0.35">
      <c r="A144">
        <v>26.302679919999999</v>
      </c>
      <c r="B144">
        <v>10.403700000000001</v>
      </c>
      <c r="C144">
        <v>9.9406400000000001</v>
      </c>
    </row>
    <row r="145" spans="1:3" x14ac:dyDescent="0.35">
      <c r="A145">
        <v>26.915348040000001</v>
      </c>
      <c r="B145">
        <v>10.4154</v>
      </c>
      <c r="C145">
        <v>9.9721600000000006</v>
      </c>
    </row>
    <row r="146" spans="1:3" x14ac:dyDescent="0.35">
      <c r="A146">
        <v>27.542287030000001</v>
      </c>
      <c r="B146">
        <v>10.426600000000001</v>
      </c>
      <c r="C146">
        <v>10.0024</v>
      </c>
    </row>
    <row r="147" spans="1:3" x14ac:dyDescent="0.35">
      <c r="A147">
        <v>28.18382931</v>
      </c>
      <c r="B147">
        <v>10.4373</v>
      </c>
      <c r="C147">
        <v>10.0313</v>
      </c>
    </row>
    <row r="148" spans="1:3" x14ac:dyDescent="0.35">
      <c r="A148">
        <v>28.840315029999999</v>
      </c>
      <c r="B148">
        <v>10.4476</v>
      </c>
      <c r="C148">
        <v>10.059100000000001</v>
      </c>
    </row>
    <row r="149" spans="1:3" x14ac:dyDescent="0.35">
      <c r="A149">
        <v>29.51209227</v>
      </c>
      <c r="B149">
        <v>10.4574</v>
      </c>
      <c r="C149">
        <v>10.085699999999999</v>
      </c>
    </row>
    <row r="150" spans="1:3" x14ac:dyDescent="0.35">
      <c r="A150">
        <v>30.199517199999999</v>
      </c>
      <c r="B150">
        <v>10.466799999999999</v>
      </c>
      <c r="C150">
        <v>10.1112</v>
      </c>
    </row>
    <row r="151" spans="1:3" x14ac:dyDescent="0.35">
      <c r="A151">
        <v>30.90295433</v>
      </c>
      <c r="B151">
        <v>10.4758</v>
      </c>
      <c r="C151">
        <v>10.1356</v>
      </c>
    </row>
    <row r="152" spans="1:3" x14ac:dyDescent="0.35">
      <c r="A152">
        <v>31.622776600000002</v>
      </c>
      <c r="B152">
        <v>10.484500000000001</v>
      </c>
      <c r="C152">
        <v>10.158899999999999</v>
      </c>
    </row>
    <row r="153" spans="1:3" x14ac:dyDescent="0.35">
      <c r="A153">
        <v>32.359365689999997</v>
      </c>
      <c r="B153">
        <v>10.492699999999999</v>
      </c>
      <c r="C153">
        <v>10.1813</v>
      </c>
    </row>
    <row r="154" spans="1:3" x14ac:dyDescent="0.35">
      <c r="A154">
        <v>33.113112149999999</v>
      </c>
      <c r="B154">
        <v>10.5006</v>
      </c>
      <c r="C154">
        <v>10.2028</v>
      </c>
    </row>
    <row r="155" spans="1:3" x14ac:dyDescent="0.35">
      <c r="A155">
        <v>33.884415609999998</v>
      </c>
      <c r="B155">
        <v>10.5082</v>
      </c>
      <c r="C155">
        <v>10.2233</v>
      </c>
    </row>
    <row r="156" spans="1:3" x14ac:dyDescent="0.35">
      <c r="A156">
        <v>34.673685050000003</v>
      </c>
      <c r="B156">
        <v>10.5154</v>
      </c>
      <c r="C156">
        <v>10.242900000000001</v>
      </c>
    </row>
    <row r="157" spans="1:3" x14ac:dyDescent="0.35">
      <c r="A157">
        <v>35.481338919999999</v>
      </c>
      <c r="B157">
        <v>10.5223</v>
      </c>
      <c r="C157">
        <v>10.261799999999999</v>
      </c>
    </row>
    <row r="158" spans="1:3" x14ac:dyDescent="0.35">
      <c r="A158">
        <v>36.307805479999999</v>
      </c>
      <c r="B158">
        <v>10.5289</v>
      </c>
      <c r="C158">
        <v>10.2798</v>
      </c>
    </row>
    <row r="159" spans="1:3" x14ac:dyDescent="0.35">
      <c r="A159">
        <v>37.15352291</v>
      </c>
      <c r="B159">
        <v>10.5352</v>
      </c>
      <c r="C159">
        <v>10.297000000000001</v>
      </c>
    </row>
    <row r="160" spans="1:3" x14ac:dyDescent="0.35">
      <c r="A160">
        <v>38.018939629999998</v>
      </c>
      <c r="B160">
        <v>10.5413</v>
      </c>
      <c r="C160">
        <v>10.313499999999999</v>
      </c>
    </row>
    <row r="161" spans="1:3" x14ac:dyDescent="0.35">
      <c r="A161">
        <v>38.904514499999998</v>
      </c>
      <c r="B161">
        <v>10.547000000000001</v>
      </c>
      <c r="C161">
        <v>10.3293</v>
      </c>
    </row>
    <row r="162" spans="1:3" x14ac:dyDescent="0.35">
      <c r="A162">
        <v>39.810717060000002</v>
      </c>
      <c r="B162">
        <v>10.5526</v>
      </c>
      <c r="C162">
        <v>10.3444</v>
      </c>
    </row>
    <row r="163" spans="1:3" x14ac:dyDescent="0.35">
      <c r="A163">
        <v>40.738027780000003</v>
      </c>
      <c r="B163">
        <v>10.5579</v>
      </c>
      <c r="C163">
        <v>10.3588</v>
      </c>
    </row>
    <row r="164" spans="1:3" x14ac:dyDescent="0.35">
      <c r="A164">
        <v>41.686938349999998</v>
      </c>
      <c r="B164">
        <v>10.562900000000001</v>
      </c>
      <c r="C164">
        <v>10.3726</v>
      </c>
    </row>
    <row r="165" spans="1:3" x14ac:dyDescent="0.35">
      <c r="A165">
        <v>42.657951879999999</v>
      </c>
      <c r="B165">
        <v>10.5677</v>
      </c>
      <c r="C165">
        <v>10.3858</v>
      </c>
    </row>
    <row r="166" spans="1:3" x14ac:dyDescent="0.35">
      <c r="A166">
        <v>43.651583219999999</v>
      </c>
      <c r="B166">
        <v>10.5724</v>
      </c>
      <c r="C166">
        <v>10.3985</v>
      </c>
    </row>
    <row r="167" spans="1:3" x14ac:dyDescent="0.35">
      <c r="A167">
        <v>44.668359219999999</v>
      </c>
      <c r="B167">
        <v>10.5768</v>
      </c>
      <c r="C167">
        <v>10.410600000000001</v>
      </c>
    </row>
    <row r="168" spans="1:3" x14ac:dyDescent="0.35">
      <c r="A168">
        <v>45.708818960000002</v>
      </c>
      <c r="B168">
        <v>10.581</v>
      </c>
      <c r="C168">
        <v>10.4221</v>
      </c>
    </row>
    <row r="169" spans="1:3" x14ac:dyDescent="0.35">
      <c r="A169">
        <v>46.773514130000002</v>
      </c>
      <c r="B169">
        <v>10.585000000000001</v>
      </c>
      <c r="C169">
        <v>10.433199999999999</v>
      </c>
    </row>
    <row r="170" spans="1:3" x14ac:dyDescent="0.35">
      <c r="A170">
        <v>47.863009230000003</v>
      </c>
      <c r="B170">
        <v>10.588900000000001</v>
      </c>
      <c r="C170">
        <v>10.4438</v>
      </c>
    </row>
    <row r="171" spans="1:3" x14ac:dyDescent="0.35">
      <c r="A171">
        <v>48.977881940000003</v>
      </c>
      <c r="B171">
        <v>10.592599999999999</v>
      </c>
      <c r="C171">
        <v>10.453900000000001</v>
      </c>
    </row>
    <row r="172" spans="1:3" x14ac:dyDescent="0.35">
      <c r="A172">
        <v>50.118723359999997</v>
      </c>
      <c r="B172">
        <v>10.5961</v>
      </c>
      <c r="C172">
        <v>10.4636</v>
      </c>
    </row>
    <row r="173" spans="1:3" x14ac:dyDescent="0.35">
      <c r="A173">
        <v>51.286138399999999</v>
      </c>
      <c r="B173">
        <v>10.599500000000001</v>
      </c>
      <c r="C173">
        <v>10.472799999999999</v>
      </c>
    </row>
    <row r="174" spans="1:3" x14ac:dyDescent="0.35">
      <c r="A174">
        <v>52.480746019999998</v>
      </c>
      <c r="B174">
        <v>10.6027</v>
      </c>
      <c r="C174">
        <v>10.4817</v>
      </c>
    </row>
    <row r="175" spans="1:3" x14ac:dyDescent="0.35">
      <c r="A175">
        <v>53.703179640000002</v>
      </c>
      <c r="B175">
        <v>10.6058</v>
      </c>
      <c r="C175">
        <v>10.4901</v>
      </c>
    </row>
    <row r="176" spans="1:3" x14ac:dyDescent="0.35">
      <c r="A176">
        <v>54.954087389999998</v>
      </c>
      <c r="B176">
        <v>10.608700000000001</v>
      </c>
      <c r="C176">
        <v>10.498200000000001</v>
      </c>
    </row>
    <row r="177" spans="1:3" x14ac:dyDescent="0.35">
      <c r="A177">
        <v>56.234132520000003</v>
      </c>
      <c r="B177">
        <v>10.611499999999999</v>
      </c>
      <c r="C177">
        <v>10.5059</v>
      </c>
    </row>
    <row r="178" spans="1:3" x14ac:dyDescent="0.35">
      <c r="A178">
        <v>57.543993729999997</v>
      </c>
      <c r="B178">
        <v>10.6142</v>
      </c>
      <c r="C178">
        <v>10.513299999999999</v>
      </c>
    </row>
    <row r="179" spans="1:3" x14ac:dyDescent="0.35">
      <c r="A179">
        <v>58.884365539999997</v>
      </c>
      <c r="B179">
        <v>10.6168</v>
      </c>
      <c r="C179">
        <v>10.520300000000001</v>
      </c>
    </row>
    <row r="180" spans="1:3" x14ac:dyDescent="0.35">
      <c r="A180">
        <v>60.25595861</v>
      </c>
      <c r="B180">
        <v>10.619199999999999</v>
      </c>
      <c r="C180">
        <v>10.527100000000001</v>
      </c>
    </row>
    <row r="181" spans="1:3" x14ac:dyDescent="0.35">
      <c r="A181">
        <v>61.659500190000003</v>
      </c>
      <c r="B181">
        <v>10.621499999999999</v>
      </c>
      <c r="C181">
        <v>10.5335</v>
      </c>
    </row>
    <row r="182" spans="1:3" x14ac:dyDescent="0.35">
      <c r="A182">
        <v>63.095734450000002</v>
      </c>
      <c r="B182">
        <v>10.623799999999999</v>
      </c>
      <c r="C182">
        <v>10.5397</v>
      </c>
    </row>
    <row r="183" spans="1:3" x14ac:dyDescent="0.35">
      <c r="A183">
        <v>64.565422900000002</v>
      </c>
      <c r="B183">
        <v>10.6259</v>
      </c>
      <c r="C183">
        <v>10.5456</v>
      </c>
    </row>
    <row r="184" spans="1:3" x14ac:dyDescent="0.35">
      <c r="A184">
        <v>66.069344799999996</v>
      </c>
      <c r="B184">
        <v>10.628</v>
      </c>
      <c r="C184">
        <v>10.5512</v>
      </c>
    </row>
    <row r="185" spans="1:3" x14ac:dyDescent="0.35">
      <c r="A185">
        <v>67.608297539999995</v>
      </c>
      <c r="B185">
        <v>10.629899999999999</v>
      </c>
      <c r="C185">
        <v>10.5566</v>
      </c>
    </row>
    <row r="186" spans="1:3" x14ac:dyDescent="0.35">
      <c r="A186">
        <v>69.183097090000004</v>
      </c>
      <c r="B186">
        <v>10.6318</v>
      </c>
      <c r="C186">
        <v>10.5617</v>
      </c>
    </row>
    <row r="187" spans="1:3" x14ac:dyDescent="0.35">
      <c r="A187">
        <v>70.794578439999995</v>
      </c>
      <c r="B187">
        <v>10.633599999999999</v>
      </c>
      <c r="C187">
        <v>10.566599999999999</v>
      </c>
    </row>
    <row r="188" spans="1:3" x14ac:dyDescent="0.35">
      <c r="A188">
        <v>72.443596009999993</v>
      </c>
      <c r="B188">
        <v>10.635300000000001</v>
      </c>
      <c r="C188">
        <v>10.571300000000001</v>
      </c>
    </row>
    <row r="189" spans="1:3" x14ac:dyDescent="0.35">
      <c r="A189">
        <v>74.13102413</v>
      </c>
      <c r="B189">
        <v>10.636900000000001</v>
      </c>
      <c r="C189">
        <v>10.575799999999999</v>
      </c>
    </row>
    <row r="190" spans="1:3" x14ac:dyDescent="0.35">
      <c r="A190">
        <v>75.857757500000005</v>
      </c>
      <c r="B190">
        <v>10.638400000000001</v>
      </c>
      <c r="C190">
        <v>10.5801</v>
      </c>
    </row>
    <row r="191" spans="1:3" x14ac:dyDescent="0.35">
      <c r="A191">
        <v>77.624711660000003</v>
      </c>
      <c r="B191">
        <v>10.639900000000001</v>
      </c>
      <c r="C191">
        <v>10.584199999999999</v>
      </c>
    </row>
    <row r="192" spans="1:3" x14ac:dyDescent="0.35">
      <c r="A192">
        <v>79.432823470000002</v>
      </c>
      <c r="B192">
        <v>10.641299999999999</v>
      </c>
      <c r="C192">
        <v>10.588100000000001</v>
      </c>
    </row>
    <row r="193" spans="1:3" x14ac:dyDescent="0.35">
      <c r="A193">
        <v>81.283051619999995</v>
      </c>
      <c r="B193">
        <v>10.6427</v>
      </c>
      <c r="C193">
        <v>10.591799999999999</v>
      </c>
    </row>
    <row r="194" spans="1:3" x14ac:dyDescent="0.35">
      <c r="A194">
        <v>83.176377110000004</v>
      </c>
      <c r="B194">
        <v>10.644</v>
      </c>
      <c r="C194">
        <v>10.5954</v>
      </c>
    </row>
    <row r="195" spans="1:3" x14ac:dyDescent="0.35">
      <c r="A195">
        <v>85.113803820000001</v>
      </c>
      <c r="B195">
        <v>10.645200000000001</v>
      </c>
      <c r="C195">
        <v>10.598800000000001</v>
      </c>
    </row>
    <row r="196" spans="1:3" x14ac:dyDescent="0.35">
      <c r="A196">
        <v>87.096359000000007</v>
      </c>
      <c r="B196">
        <v>10.6464</v>
      </c>
      <c r="C196">
        <v>10.6021</v>
      </c>
    </row>
    <row r="197" spans="1:3" x14ac:dyDescent="0.35">
      <c r="A197">
        <v>89.125093809999996</v>
      </c>
      <c r="B197">
        <v>10.647500000000001</v>
      </c>
      <c r="C197">
        <v>10.6052</v>
      </c>
    </row>
    <row r="198" spans="1:3" x14ac:dyDescent="0.35">
      <c r="A198">
        <v>91.201083940000004</v>
      </c>
      <c r="B198">
        <v>10.6486</v>
      </c>
      <c r="C198">
        <v>10.6081</v>
      </c>
    </row>
    <row r="199" spans="1:3" x14ac:dyDescent="0.35">
      <c r="A199">
        <v>93.325430080000004</v>
      </c>
      <c r="B199">
        <v>10.6496</v>
      </c>
      <c r="C199">
        <v>10.611000000000001</v>
      </c>
    </row>
    <row r="200" spans="1:3" x14ac:dyDescent="0.35">
      <c r="A200">
        <v>95.499258600000005</v>
      </c>
      <c r="B200">
        <v>10.650600000000001</v>
      </c>
      <c r="C200">
        <v>10.6137</v>
      </c>
    </row>
    <row r="201" spans="1:3" x14ac:dyDescent="0.35">
      <c r="A201">
        <v>97.723722100000003</v>
      </c>
      <c r="B201">
        <v>10.6515</v>
      </c>
      <c r="C201">
        <v>10.616300000000001</v>
      </c>
    </row>
    <row r="202" spans="1:3" x14ac:dyDescent="0.35">
      <c r="A202">
        <v>100</v>
      </c>
      <c r="B202">
        <v>10.6524</v>
      </c>
      <c r="C202">
        <v>10.6188</v>
      </c>
    </row>
    <row r="203" spans="1:3" x14ac:dyDescent="0.35">
      <c r="A203">
        <v>102.32929919999999</v>
      </c>
      <c r="B203">
        <v>10.6533</v>
      </c>
      <c r="C203">
        <v>10.6211</v>
      </c>
    </row>
    <row r="204" spans="1:3" x14ac:dyDescent="0.35">
      <c r="A204">
        <v>104.7128548</v>
      </c>
      <c r="B204">
        <v>10.6541</v>
      </c>
      <c r="C204">
        <v>10.6234</v>
      </c>
    </row>
    <row r="205" spans="1:3" x14ac:dyDescent="0.35">
      <c r="A205">
        <v>107.15193050000001</v>
      </c>
      <c r="B205">
        <v>10.6549</v>
      </c>
      <c r="C205">
        <v>10.625500000000001</v>
      </c>
    </row>
    <row r="206" spans="1:3" x14ac:dyDescent="0.35">
      <c r="A206">
        <v>109.64781960000001</v>
      </c>
      <c r="B206">
        <v>10.6556</v>
      </c>
      <c r="C206">
        <v>10.627599999999999</v>
      </c>
    </row>
    <row r="207" spans="1:3" x14ac:dyDescent="0.35">
      <c r="A207">
        <v>112.2018454</v>
      </c>
      <c r="B207">
        <v>10.6563</v>
      </c>
      <c r="C207">
        <v>10.6296</v>
      </c>
    </row>
    <row r="208" spans="1:3" x14ac:dyDescent="0.35">
      <c r="A208">
        <v>114.8153621</v>
      </c>
      <c r="B208">
        <v>10.657</v>
      </c>
      <c r="C208">
        <v>10.631399999999999</v>
      </c>
    </row>
    <row r="209" spans="1:3" x14ac:dyDescent="0.35">
      <c r="A209">
        <v>117.4897555</v>
      </c>
      <c r="B209">
        <v>10.6577</v>
      </c>
      <c r="C209">
        <v>10.6332</v>
      </c>
    </row>
    <row r="210" spans="1:3" x14ac:dyDescent="0.35">
      <c r="A210">
        <v>120.2264435</v>
      </c>
      <c r="B210">
        <v>10.658300000000001</v>
      </c>
      <c r="C210">
        <v>10.635</v>
      </c>
    </row>
    <row r="211" spans="1:3" x14ac:dyDescent="0.35">
      <c r="A211">
        <v>123.02687709999999</v>
      </c>
      <c r="B211">
        <v>10.658899999999999</v>
      </c>
      <c r="C211">
        <v>10.6366</v>
      </c>
    </row>
    <row r="212" spans="1:3" x14ac:dyDescent="0.35">
      <c r="A212">
        <v>125.8925412</v>
      </c>
      <c r="B212">
        <v>10.6594</v>
      </c>
      <c r="C212">
        <v>10.638199999999999</v>
      </c>
    </row>
    <row r="213" spans="1:3" x14ac:dyDescent="0.35">
      <c r="A213">
        <v>128.82495520000001</v>
      </c>
      <c r="B213">
        <v>10.66</v>
      </c>
      <c r="C213">
        <v>10.6396</v>
      </c>
    </row>
    <row r="214" spans="1:3" x14ac:dyDescent="0.35">
      <c r="A214">
        <v>131.8256739</v>
      </c>
      <c r="B214">
        <v>10.660500000000001</v>
      </c>
      <c r="C214">
        <v>10.6411</v>
      </c>
    </row>
    <row r="215" spans="1:3" x14ac:dyDescent="0.35">
      <c r="A215">
        <v>134.89628830000001</v>
      </c>
      <c r="B215">
        <v>10.661</v>
      </c>
      <c r="C215">
        <v>10.6424</v>
      </c>
    </row>
    <row r="216" spans="1:3" x14ac:dyDescent="0.35">
      <c r="A216">
        <v>138.03842650000001</v>
      </c>
      <c r="B216">
        <v>10.6614</v>
      </c>
      <c r="C216">
        <v>10.643700000000001</v>
      </c>
    </row>
    <row r="217" spans="1:3" x14ac:dyDescent="0.35">
      <c r="A217">
        <v>141.25375450000001</v>
      </c>
      <c r="B217">
        <v>10.661899999999999</v>
      </c>
      <c r="C217">
        <v>10.645</v>
      </c>
    </row>
    <row r="218" spans="1:3" x14ac:dyDescent="0.35">
      <c r="A218">
        <v>144.54397710000001</v>
      </c>
      <c r="B218">
        <v>10.6623</v>
      </c>
      <c r="C218">
        <v>10.6462</v>
      </c>
    </row>
    <row r="219" spans="1:3" x14ac:dyDescent="0.35">
      <c r="A219">
        <v>147.91083879999999</v>
      </c>
      <c r="B219">
        <v>10.662699999999999</v>
      </c>
      <c r="C219">
        <v>10.6473</v>
      </c>
    </row>
    <row r="220" spans="1:3" x14ac:dyDescent="0.35">
      <c r="A220">
        <v>151.3561248</v>
      </c>
      <c r="B220">
        <v>10.6631</v>
      </c>
      <c r="C220">
        <v>10.648400000000001</v>
      </c>
    </row>
    <row r="221" spans="1:3" x14ac:dyDescent="0.35">
      <c r="A221">
        <v>154.88166190000001</v>
      </c>
      <c r="B221">
        <v>10.663500000000001</v>
      </c>
      <c r="C221">
        <v>10.6494</v>
      </c>
    </row>
    <row r="222" spans="1:3" x14ac:dyDescent="0.35">
      <c r="A222">
        <v>158.48931920000001</v>
      </c>
      <c r="B222">
        <v>10.6638</v>
      </c>
      <c r="C222">
        <v>10.650399999999999</v>
      </c>
    </row>
    <row r="223" spans="1:3" x14ac:dyDescent="0.35">
      <c r="A223">
        <v>162.1810097</v>
      </c>
      <c r="B223">
        <v>10.664199999999999</v>
      </c>
      <c r="C223">
        <v>10.651300000000001</v>
      </c>
    </row>
    <row r="224" spans="1:3" x14ac:dyDescent="0.35">
      <c r="A224">
        <v>165.95869070000001</v>
      </c>
      <c r="B224">
        <v>10.6645</v>
      </c>
      <c r="C224">
        <v>10.652200000000001</v>
      </c>
    </row>
    <row r="225" spans="1:3" x14ac:dyDescent="0.35">
      <c r="A225">
        <v>169.82436519999999</v>
      </c>
      <c r="B225">
        <v>10.6648</v>
      </c>
      <c r="C225">
        <v>10.6531</v>
      </c>
    </row>
    <row r="226" spans="1:3" x14ac:dyDescent="0.35">
      <c r="A226">
        <v>173.7800829</v>
      </c>
      <c r="B226">
        <v>10.665100000000001</v>
      </c>
      <c r="C226">
        <v>10.6539</v>
      </c>
    </row>
    <row r="227" spans="1:3" x14ac:dyDescent="0.35">
      <c r="A227">
        <v>177.82794100000001</v>
      </c>
      <c r="B227">
        <v>10.6653</v>
      </c>
      <c r="C227">
        <v>10.6547</v>
      </c>
    </row>
    <row r="228" spans="1:3" x14ac:dyDescent="0.35">
      <c r="A228">
        <v>181.97008589999999</v>
      </c>
      <c r="B228">
        <v>10.6656</v>
      </c>
      <c r="C228">
        <v>10.6554</v>
      </c>
    </row>
    <row r="229" spans="1:3" x14ac:dyDescent="0.35">
      <c r="A229">
        <v>186.2087137</v>
      </c>
      <c r="B229">
        <v>10.665900000000001</v>
      </c>
      <c r="C229">
        <v>10.6561</v>
      </c>
    </row>
    <row r="230" spans="1:3" x14ac:dyDescent="0.35">
      <c r="A230">
        <v>190.54607179999999</v>
      </c>
      <c r="B230">
        <v>10.6661</v>
      </c>
      <c r="C230">
        <v>10.6568</v>
      </c>
    </row>
    <row r="231" spans="1:3" x14ac:dyDescent="0.35">
      <c r="A231">
        <v>194.98446000000001</v>
      </c>
      <c r="B231">
        <v>10.6663</v>
      </c>
      <c r="C231">
        <v>10.657400000000001</v>
      </c>
    </row>
    <row r="232" spans="1:3" x14ac:dyDescent="0.35">
      <c r="A232">
        <v>199.52623149999999</v>
      </c>
      <c r="B232">
        <v>10.666499999999999</v>
      </c>
      <c r="C232">
        <v>10.658099999999999</v>
      </c>
    </row>
    <row r="233" spans="1:3" x14ac:dyDescent="0.35">
      <c r="A233">
        <v>204.17379450000001</v>
      </c>
      <c r="B233">
        <v>10.666700000000001</v>
      </c>
      <c r="C233">
        <v>10.6586</v>
      </c>
    </row>
    <row r="234" spans="1:3" x14ac:dyDescent="0.35">
      <c r="A234">
        <v>208.92961310000001</v>
      </c>
      <c r="B234">
        <v>10.6669</v>
      </c>
      <c r="C234">
        <v>10.6592</v>
      </c>
    </row>
    <row r="235" spans="1:3" x14ac:dyDescent="0.35">
      <c r="A235">
        <v>213.796209</v>
      </c>
      <c r="B235">
        <v>10.6671</v>
      </c>
      <c r="C235">
        <v>10.659700000000001</v>
      </c>
    </row>
    <row r="236" spans="1:3" x14ac:dyDescent="0.35">
      <c r="A236">
        <v>218.7761624</v>
      </c>
      <c r="B236">
        <v>10.667299999999999</v>
      </c>
      <c r="C236">
        <v>10.6602</v>
      </c>
    </row>
    <row r="237" spans="1:3" x14ac:dyDescent="0.35">
      <c r="A237">
        <v>223.87211389999999</v>
      </c>
      <c r="B237">
        <v>10.6675</v>
      </c>
      <c r="C237">
        <v>10.6607</v>
      </c>
    </row>
    <row r="238" spans="1:3" x14ac:dyDescent="0.35">
      <c r="A238">
        <v>229.0867653</v>
      </c>
      <c r="B238">
        <v>10.6676</v>
      </c>
      <c r="C238">
        <v>10.661199999999999</v>
      </c>
    </row>
    <row r="239" spans="1:3" x14ac:dyDescent="0.35">
      <c r="A239">
        <v>234.42288149999999</v>
      </c>
      <c r="B239">
        <v>10.6678</v>
      </c>
      <c r="C239">
        <v>10.6616</v>
      </c>
    </row>
    <row r="240" spans="1:3" x14ac:dyDescent="0.35">
      <c r="A240">
        <v>239.88329189999999</v>
      </c>
      <c r="B240">
        <v>10.667899999999999</v>
      </c>
      <c r="C240">
        <v>10.662100000000001</v>
      </c>
    </row>
    <row r="241" spans="1:3" x14ac:dyDescent="0.35">
      <c r="A241">
        <v>245.47089159999999</v>
      </c>
      <c r="B241">
        <v>10.668100000000001</v>
      </c>
      <c r="C241">
        <v>10.6625</v>
      </c>
    </row>
    <row r="242" spans="1:3" x14ac:dyDescent="0.35">
      <c r="A242">
        <v>251.1886432</v>
      </c>
      <c r="B242">
        <v>10.668200000000001</v>
      </c>
      <c r="C242">
        <v>10.662800000000001</v>
      </c>
    </row>
    <row r="243" spans="1:3" x14ac:dyDescent="0.35">
      <c r="A243">
        <v>257.03957830000002</v>
      </c>
      <c r="B243">
        <v>10.6683</v>
      </c>
      <c r="C243">
        <v>10.6632</v>
      </c>
    </row>
    <row r="244" spans="1:3" x14ac:dyDescent="0.35">
      <c r="A244">
        <v>263.02679920000003</v>
      </c>
      <c r="B244">
        <v>10.6684</v>
      </c>
      <c r="C244">
        <v>10.663500000000001</v>
      </c>
    </row>
    <row r="245" spans="1:3" x14ac:dyDescent="0.35">
      <c r="A245">
        <v>269.15348039999998</v>
      </c>
      <c r="B245">
        <v>10.6685</v>
      </c>
      <c r="C245">
        <v>10.6639</v>
      </c>
    </row>
    <row r="246" spans="1:3" x14ac:dyDescent="0.35">
      <c r="A246">
        <v>275.4228703</v>
      </c>
      <c r="B246">
        <v>10.6686</v>
      </c>
      <c r="C246">
        <v>10.664199999999999</v>
      </c>
    </row>
    <row r="247" spans="1:3" x14ac:dyDescent="0.35">
      <c r="A247">
        <v>281.83829309999999</v>
      </c>
      <c r="B247">
        <v>10.668699999999999</v>
      </c>
      <c r="C247">
        <v>10.6645</v>
      </c>
    </row>
    <row r="248" spans="1:3" x14ac:dyDescent="0.35">
      <c r="A248">
        <v>288.40315029999999</v>
      </c>
      <c r="B248">
        <v>10.668799999999999</v>
      </c>
      <c r="C248">
        <v>10.6647</v>
      </c>
    </row>
    <row r="249" spans="1:3" x14ac:dyDescent="0.35">
      <c r="A249">
        <v>295.12092269999999</v>
      </c>
      <c r="B249">
        <v>10.668900000000001</v>
      </c>
      <c r="C249">
        <v>10.664999999999999</v>
      </c>
    </row>
    <row r="250" spans="1:3" x14ac:dyDescent="0.35">
      <c r="A250">
        <v>301.99517200000003</v>
      </c>
      <c r="B250">
        <v>10.669</v>
      </c>
      <c r="C250">
        <v>10.6653</v>
      </c>
    </row>
    <row r="251" spans="1:3" x14ac:dyDescent="0.35">
      <c r="A251">
        <v>309.0295433</v>
      </c>
      <c r="B251">
        <v>10.669</v>
      </c>
      <c r="C251">
        <v>10.6655</v>
      </c>
    </row>
    <row r="252" spans="1:3" x14ac:dyDescent="0.35">
      <c r="A252">
        <v>316.22776599999997</v>
      </c>
      <c r="B252">
        <v>10.6691</v>
      </c>
      <c r="C252">
        <v>10.665699999999999</v>
      </c>
    </row>
    <row r="253" spans="1:3" x14ac:dyDescent="0.35">
      <c r="A253">
        <v>323.59365689999998</v>
      </c>
      <c r="B253">
        <v>10.6692</v>
      </c>
      <c r="C253">
        <v>10.665900000000001</v>
      </c>
    </row>
    <row r="254" spans="1:3" x14ac:dyDescent="0.35">
      <c r="A254">
        <v>331.13112150000001</v>
      </c>
      <c r="B254">
        <v>10.6692</v>
      </c>
      <c r="C254">
        <v>10.6661</v>
      </c>
    </row>
    <row r="255" spans="1:3" x14ac:dyDescent="0.35">
      <c r="A255">
        <v>338.84415610000002</v>
      </c>
      <c r="B255">
        <v>10.6693</v>
      </c>
      <c r="C255">
        <v>10.6663</v>
      </c>
    </row>
    <row r="256" spans="1:3" x14ac:dyDescent="0.35">
      <c r="A256">
        <v>346.7368505</v>
      </c>
      <c r="B256">
        <v>10.6693</v>
      </c>
      <c r="C256">
        <v>10.666499999999999</v>
      </c>
    </row>
    <row r="257" spans="1:3" x14ac:dyDescent="0.35">
      <c r="A257">
        <v>354.81338920000002</v>
      </c>
      <c r="B257">
        <v>10.6693</v>
      </c>
      <c r="C257">
        <v>10.666700000000001</v>
      </c>
    </row>
    <row r="258" spans="1:3" x14ac:dyDescent="0.35">
      <c r="A258">
        <v>363.07805480000002</v>
      </c>
      <c r="B258">
        <v>10.6694</v>
      </c>
      <c r="C258">
        <v>10.6668</v>
      </c>
    </row>
    <row r="259" spans="1:3" x14ac:dyDescent="0.35">
      <c r="A259">
        <v>371.53522909999998</v>
      </c>
      <c r="B259">
        <v>10.6694</v>
      </c>
      <c r="C259">
        <v>10.667</v>
      </c>
    </row>
    <row r="260" spans="1:3" x14ac:dyDescent="0.35">
      <c r="A260">
        <v>380.1893963</v>
      </c>
      <c r="B260">
        <v>10.6694</v>
      </c>
      <c r="C260">
        <v>10.6671</v>
      </c>
    </row>
    <row r="261" spans="1:3" x14ac:dyDescent="0.35">
      <c r="A261">
        <v>389.04514499999999</v>
      </c>
      <c r="B261">
        <v>10.669499999999999</v>
      </c>
      <c r="C261">
        <v>10.667199999999999</v>
      </c>
    </row>
    <row r="262" spans="1:3" x14ac:dyDescent="0.35">
      <c r="A262">
        <v>398.10717060000002</v>
      </c>
      <c r="B262">
        <v>10.669499999999999</v>
      </c>
      <c r="C262">
        <v>10.667299999999999</v>
      </c>
    </row>
    <row r="263" spans="1:3" x14ac:dyDescent="0.35">
      <c r="A263">
        <v>407.38027779999999</v>
      </c>
      <c r="B263">
        <v>10.669499999999999</v>
      </c>
      <c r="C263">
        <v>10.667400000000001</v>
      </c>
    </row>
    <row r="264" spans="1:3" x14ac:dyDescent="0.35">
      <c r="A264">
        <v>416.86938350000003</v>
      </c>
      <c r="B264">
        <v>10.669499999999999</v>
      </c>
      <c r="C264">
        <v>10.6675</v>
      </c>
    </row>
    <row r="265" spans="1:3" x14ac:dyDescent="0.35">
      <c r="A265">
        <v>426.57951880000002</v>
      </c>
      <c r="B265">
        <v>10.669499999999999</v>
      </c>
      <c r="C265">
        <v>10.6676</v>
      </c>
    </row>
    <row r="266" spans="1:3" x14ac:dyDescent="0.35">
      <c r="A266">
        <v>436.51583219999998</v>
      </c>
      <c r="B266">
        <v>10.669499999999999</v>
      </c>
      <c r="C266">
        <v>10.6677</v>
      </c>
    </row>
    <row r="267" spans="1:3" x14ac:dyDescent="0.35">
      <c r="A267">
        <v>446.68359220000002</v>
      </c>
      <c r="B267">
        <v>10.669499999999999</v>
      </c>
      <c r="C267">
        <v>10.6678</v>
      </c>
    </row>
    <row r="268" spans="1:3" x14ac:dyDescent="0.35">
      <c r="A268">
        <v>457.08818960000002</v>
      </c>
      <c r="B268">
        <v>10.669499999999999</v>
      </c>
      <c r="C268">
        <v>10.667899999999999</v>
      </c>
    </row>
    <row r="269" spans="1:3" x14ac:dyDescent="0.35">
      <c r="A269">
        <v>467.73514130000001</v>
      </c>
      <c r="B269">
        <v>10.669499999999999</v>
      </c>
      <c r="C269">
        <v>10.667899999999999</v>
      </c>
    </row>
    <row r="270" spans="1:3" x14ac:dyDescent="0.35">
      <c r="A270">
        <v>478.6300923</v>
      </c>
      <c r="B270">
        <v>10.6694</v>
      </c>
      <c r="C270">
        <v>10.667999999999999</v>
      </c>
    </row>
    <row r="271" spans="1:3" x14ac:dyDescent="0.35">
      <c r="A271">
        <v>489.77881939999997</v>
      </c>
      <c r="B271">
        <v>10.6694</v>
      </c>
      <c r="C271">
        <v>10.667999999999999</v>
      </c>
    </row>
    <row r="272" spans="1:3" x14ac:dyDescent="0.35">
      <c r="A272">
        <v>501.18723360000001</v>
      </c>
      <c r="B272">
        <v>10.6694</v>
      </c>
      <c r="C272">
        <v>10.667999999999999</v>
      </c>
    </row>
    <row r="273" spans="1:3" x14ac:dyDescent="0.35">
      <c r="A273">
        <v>512.86138400000004</v>
      </c>
      <c r="B273">
        <v>10.6694</v>
      </c>
      <c r="C273">
        <v>10.668100000000001</v>
      </c>
    </row>
    <row r="274" spans="1:3" x14ac:dyDescent="0.35">
      <c r="A274">
        <v>524.80746020000004</v>
      </c>
      <c r="B274">
        <v>10.6693</v>
      </c>
      <c r="C274">
        <v>10.668100000000001</v>
      </c>
    </row>
    <row r="275" spans="1:3" x14ac:dyDescent="0.35">
      <c r="A275">
        <v>537.03179639999996</v>
      </c>
      <c r="B275">
        <v>10.6693</v>
      </c>
      <c r="C275">
        <v>10.668100000000001</v>
      </c>
    </row>
    <row r="276" spans="1:3" x14ac:dyDescent="0.35">
      <c r="A276">
        <v>549.54087389999995</v>
      </c>
      <c r="B276">
        <v>10.6692</v>
      </c>
      <c r="C276">
        <v>10.668100000000001</v>
      </c>
    </row>
    <row r="277" spans="1:3" x14ac:dyDescent="0.35">
      <c r="A277">
        <v>562.34132520000003</v>
      </c>
      <c r="B277">
        <v>10.6692</v>
      </c>
      <c r="C277">
        <v>10.668100000000001</v>
      </c>
    </row>
    <row r="278" spans="1:3" x14ac:dyDescent="0.35">
      <c r="A278">
        <v>575.4399373</v>
      </c>
      <c r="B278">
        <v>10.6691</v>
      </c>
      <c r="C278">
        <v>10.668100000000001</v>
      </c>
    </row>
    <row r="279" spans="1:3" x14ac:dyDescent="0.35">
      <c r="A279">
        <v>588.84365539999999</v>
      </c>
      <c r="B279">
        <v>10.6691</v>
      </c>
      <c r="C279">
        <v>10.668100000000001</v>
      </c>
    </row>
    <row r="280" spans="1:3" x14ac:dyDescent="0.35">
      <c r="A280">
        <v>602.55958610000005</v>
      </c>
      <c r="B280">
        <v>10.669</v>
      </c>
      <c r="C280">
        <v>10.668100000000001</v>
      </c>
    </row>
    <row r="281" spans="1:3" x14ac:dyDescent="0.35">
      <c r="A281">
        <v>616.59500190000006</v>
      </c>
      <c r="B281">
        <v>10.668900000000001</v>
      </c>
      <c r="C281">
        <v>10.667999999999999</v>
      </c>
    </row>
    <row r="282" spans="1:3" x14ac:dyDescent="0.35">
      <c r="A282">
        <v>630.95734449999998</v>
      </c>
      <c r="B282">
        <v>10.668799999999999</v>
      </c>
      <c r="C282">
        <v>10.667999999999999</v>
      </c>
    </row>
    <row r="283" spans="1:3" x14ac:dyDescent="0.35">
      <c r="A283">
        <v>645.65422899999999</v>
      </c>
      <c r="B283">
        <v>10.668799999999999</v>
      </c>
      <c r="C283">
        <v>10.667899999999999</v>
      </c>
    </row>
    <row r="284" spans="1:3" x14ac:dyDescent="0.35">
      <c r="A284">
        <v>660.69344799999999</v>
      </c>
      <c r="B284">
        <v>10.668699999999999</v>
      </c>
      <c r="C284">
        <v>10.667899999999999</v>
      </c>
    </row>
    <row r="285" spans="1:3" x14ac:dyDescent="0.35">
      <c r="A285">
        <v>676.08297540000001</v>
      </c>
      <c r="B285">
        <v>10.6686</v>
      </c>
      <c r="C285">
        <v>10.6678</v>
      </c>
    </row>
    <row r="286" spans="1:3" x14ac:dyDescent="0.35">
      <c r="A286">
        <v>691.83097090000001</v>
      </c>
      <c r="B286">
        <v>10.6685</v>
      </c>
      <c r="C286">
        <v>10.6678</v>
      </c>
    </row>
    <row r="287" spans="1:3" x14ac:dyDescent="0.35">
      <c r="A287">
        <v>707.94578439999998</v>
      </c>
      <c r="B287">
        <v>10.6684</v>
      </c>
      <c r="C287">
        <v>10.6677</v>
      </c>
    </row>
    <row r="288" spans="1:3" x14ac:dyDescent="0.35">
      <c r="A288">
        <v>724.43596009999999</v>
      </c>
      <c r="B288">
        <v>10.668200000000001</v>
      </c>
      <c r="C288">
        <v>10.6676</v>
      </c>
    </row>
    <row r="289" spans="1:3" x14ac:dyDescent="0.35">
      <c r="A289">
        <v>741.31024130000003</v>
      </c>
      <c r="B289">
        <v>10.668100000000001</v>
      </c>
      <c r="C289">
        <v>10.6675</v>
      </c>
    </row>
    <row r="290" spans="1:3" x14ac:dyDescent="0.35">
      <c r="A290">
        <v>758.57757500000002</v>
      </c>
      <c r="B290">
        <v>10.667999999999999</v>
      </c>
      <c r="C290">
        <v>10.667400000000001</v>
      </c>
    </row>
    <row r="291" spans="1:3" x14ac:dyDescent="0.35">
      <c r="A291">
        <v>776.24711660000003</v>
      </c>
      <c r="B291">
        <v>10.667899999999999</v>
      </c>
      <c r="C291">
        <v>10.667299999999999</v>
      </c>
    </row>
    <row r="292" spans="1:3" x14ac:dyDescent="0.35">
      <c r="A292">
        <v>794.32823470000005</v>
      </c>
      <c r="B292">
        <v>10.6677</v>
      </c>
      <c r="C292">
        <v>10.667199999999999</v>
      </c>
    </row>
    <row r="293" spans="1:3" x14ac:dyDescent="0.35">
      <c r="A293">
        <v>812.83051620000003</v>
      </c>
      <c r="B293">
        <v>10.6676</v>
      </c>
      <c r="C293">
        <v>10.667</v>
      </c>
    </row>
    <row r="294" spans="1:3" x14ac:dyDescent="0.35">
      <c r="A294">
        <v>831.76377109999999</v>
      </c>
      <c r="B294">
        <v>10.667400000000001</v>
      </c>
      <c r="C294">
        <v>10.6669</v>
      </c>
    </row>
    <row r="295" spans="1:3" x14ac:dyDescent="0.35">
      <c r="A295">
        <v>851.13803819999998</v>
      </c>
      <c r="B295">
        <v>10.667199999999999</v>
      </c>
      <c r="C295">
        <v>10.6668</v>
      </c>
    </row>
    <row r="296" spans="1:3" x14ac:dyDescent="0.35">
      <c r="A296">
        <v>870.96358999999995</v>
      </c>
      <c r="B296">
        <v>10.667</v>
      </c>
      <c r="C296">
        <v>10.666600000000001</v>
      </c>
    </row>
    <row r="297" spans="1:3" x14ac:dyDescent="0.35">
      <c r="A297">
        <v>891.25093809999998</v>
      </c>
      <c r="B297">
        <v>10.6669</v>
      </c>
      <c r="C297">
        <v>10.666399999999999</v>
      </c>
    </row>
    <row r="298" spans="1:3" x14ac:dyDescent="0.35">
      <c r="A298">
        <v>912.01083940000001</v>
      </c>
      <c r="B298">
        <v>10.666700000000001</v>
      </c>
      <c r="C298">
        <v>10.6662</v>
      </c>
    </row>
    <row r="299" spans="1:3" x14ac:dyDescent="0.35">
      <c r="A299">
        <v>933.25430080000001</v>
      </c>
      <c r="B299">
        <v>10.666399999999999</v>
      </c>
      <c r="C299">
        <v>10.6661</v>
      </c>
    </row>
    <row r="300" spans="1:3" x14ac:dyDescent="0.35">
      <c r="A300">
        <v>954.99258599999996</v>
      </c>
      <c r="B300">
        <v>10.6662</v>
      </c>
      <c r="C300">
        <v>10.665800000000001</v>
      </c>
    </row>
    <row r="301" spans="1:3" x14ac:dyDescent="0.35">
      <c r="A301">
        <v>977.23722099999998</v>
      </c>
      <c r="B301">
        <v>10.666</v>
      </c>
      <c r="C301">
        <v>10.6656</v>
      </c>
    </row>
    <row r="302" spans="1:3" x14ac:dyDescent="0.35">
      <c r="A302">
        <v>1000</v>
      </c>
      <c r="B302">
        <v>10.665699999999999</v>
      </c>
      <c r="C302">
        <v>10.6654</v>
      </c>
    </row>
    <row r="303" spans="1:3" x14ac:dyDescent="0.35">
      <c r="A303">
        <v>1023.292992</v>
      </c>
      <c r="B303">
        <v>10.6655</v>
      </c>
      <c r="C303">
        <v>10.6652</v>
      </c>
    </row>
    <row r="304" spans="1:3" x14ac:dyDescent="0.35">
      <c r="A304">
        <v>1047.1285479999999</v>
      </c>
      <c r="B304">
        <v>10.6652</v>
      </c>
      <c r="C304">
        <v>10.664899999999999</v>
      </c>
    </row>
    <row r="305" spans="1:3" x14ac:dyDescent="0.35">
      <c r="A305">
        <v>1071.519305</v>
      </c>
      <c r="B305">
        <v>10.664899999999999</v>
      </c>
      <c r="C305">
        <v>10.6646</v>
      </c>
    </row>
    <row r="306" spans="1:3" x14ac:dyDescent="0.35">
      <c r="A306">
        <v>1096.478196</v>
      </c>
      <c r="B306">
        <v>10.6646</v>
      </c>
      <c r="C306">
        <v>10.664400000000001</v>
      </c>
    </row>
    <row r="307" spans="1:3" x14ac:dyDescent="0.35">
      <c r="A307">
        <v>1122.018454</v>
      </c>
      <c r="B307">
        <v>10.664300000000001</v>
      </c>
      <c r="C307">
        <v>10.664099999999999</v>
      </c>
    </row>
    <row r="308" spans="1:3" x14ac:dyDescent="0.35">
      <c r="A308">
        <v>1148.1536209999999</v>
      </c>
      <c r="B308">
        <v>10.664</v>
      </c>
      <c r="C308">
        <v>10.6637</v>
      </c>
    </row>
    <row r="309" spans="1:3" x14ac:dyDescent="0.35">
      <c r="A309">
        <v>1174.897555</v>
      </c>
      <c r="B309">
        <v>10.6637</v>
      </c>
      <c r="C309">
        <v>10.663399999999999</v>
      </c>
    </row>
    <row r="310" spans="1:3" x14ac:dyDescent="0.35">
      <c r="A310">
        <v>1202.264435</v>
      </c>
      <c r="B310">
        <v>10.6633</v>
      </c>
      <c r="C310">
        <v>10.6631</v>
      </c>
    </row>
    <row r="311" spans="1:3" x14ac:dyDescent="0.35">
      <c r="A311">
        <v>1230.268771</v>
      </c>
      <c r="B311">
        <v>10.6629</v>
      </c>
      <c r="C311">
        <v>10.662699999999999</v>
      </c>
    </row>
    <row r="312" spans="1:3" x14ac:dyDescent="0.35">
      <c r="A312">
        <v>1258.9254120000001</v>
      </c>
      <c r="B312">
        <v>10.6625</v>
      </c>
      <c r="C312">
        <v>10.6623</v>
      </c>
    </row>
    <row r="313" spans="1:3" x14ac:dyDescent="0.35">
      <c r="A313">
        <v>1288.249552</v>
      </c>
      <c r="B313">
        <v>10.662100000000001</v>
      </c>
      <c r="C313">
        <v>10.661899999999999</v>
      </c>
    </row>
    <row r="314" spans="1:3" x14ac:dyDescent="0.35">
      <c r="A314">
        <v>1318.2567389999999</v>
      </c>
      <c r="B314">
        <v>10.6617</v>
      </c>
      <c r="C314">
        <v>10.6615</v>
      </c>
    </row>
    <row r="315" spans="1:3" x14ac:dyDescent="0.35">
      <c r="A315">
        <v>1348.9628829999999</v>
      </c>
      <c r="B315">
        <v>10.661199999999999</v>
      </c>
      <c r="C315">
        <v>10.661</v>
      </c>
    </row>
    <row r="316" spans="1:3" x14ac:dyDescent="0.35">
      <c r="A316">
        <v>1380.3842649999999</v>
      </c>
      <c r="B316">
        <v>10.6607</v>
      </c>
      <c r="C316">
        <v>10.660600000000001</v>
      </c>
    </row>
    <row r="317" spans="1:3" x14ac:dyDescent="0.35">
      <c r="A317">
        <v>1412.5375449999999</v>
      </c>
      <c r="B317">
        <v>10.6602</v>
      </c>
      <c r="C317">
        <v>10.6601</v>
      </c>
    </row>
    <row r="318" spans="1:3" x14ac:dyDescent="0.35">
      <c r="A318">
        <v>1445.4397710000001</v>
      </c>
      <c r="B318">
        <v>10.659700000000001</v>
      </c>
      <c r="C318">
        <v>10.659599999999999</v>
      </c>
    </row>
    <row r="319" spans="1:3" x14ac:dyDescent="0.35">
      <c r="A319">
        <v>1479.1083880000001</v>
      </c>
      <c r="B319">
        <v>10.6592</v>
      </c>
      <c r="C319">
        <v>10.659000000000001</v>
      </c>
    </row>
    <row r="320" spans="1:3" x14ac:dyDescent="0.35">
      <c r="A320">
        <v>1513.561248</v>
      </c>
      <c r="B320">
        <v>10.6586</v>
      </c>
      <c r="C320">
        <v>10.6584</v>
      </c>
    </row>
    <row r="321" spans="1:3" x14ac:dyDescent="0.35">
      <c r="A321">
        <v>1548.8166189999999</v>
      </c>
      <c r="B321">
        <v>10.657999999999999</v>
      </c>
      <c r="C321">
        <v>10.6578</v>
      </c>
    </row>
    <row r="322" spans="1:3" x14ac:dyDescent="0.35">
      <c r="A322">
        <v>1584.893192</v>
      </c>
      <c r="B322">
        <v>10.657400000000001</v>
      </c>
      <c r="C322">
        <v>10.6572</v>
      </c>
    </row>
    <row r="323" spans="1:3" x14ac:dyDescent="0.35">
      <c r="A323">
        <v>1621.810097</v>
      </c>
      <c r="B323">
        <v>10.656700000000001</v>
      </c>
      <c r="C323">
        <v>10.656599999999999</v>
      </c>
    </row>
    <row r="324" spans="1:3" x14ac:dyDescent="0.35">
      <c r="A324">
        <v>1659.5869070000001</v>
      </c>
      <c r="B324">
        <v>10.656000000000001</v>
      </c>
      <c r="C324">
        <v>10.655900000000001</v>
      </c>
    </row>
    <row r="325" spans="1:3" x14ac:dyDescent="0.35">
      <c r="A325">
        <v>1698.2436520000001</v>
      </c>
      <c r="B325">
        <v>10.6553</v>
      </c>
      <c r="C325">
        <v>10.655200000000001</v>
      </c>
    </row>
    <row r="326" spans="1:3" x14ac:dyDescent="0.35">
      <c r="A326">
        <v>1737.800829</v>
      </c>
      <c r="B326">
        <v>10.654500000000001</v>
      </c>
      <c r="C326">
        <v>10.654400000000001</v>
      </c>
    </row>
    <row r="327" spans="1:3" x14ac:dyDescent="0.35">
      <c r="A327">
        <v>1778.2794100000001</v>
      </c>
      <c r="B327">
        <v>10.653700000000001</v>
      </c>
      <c r="C327">
        <v>10.653600000000001</v>
      </c>
    </row>
    <row r="328" spans="1:3" x14ac:dyDescent="0.35">
      <c r="A328">
        <v>1819.700859</v>
      </c>
      <c r="B328">
        <v>10.652900000000001</v>
      </c>
      <c r="C328">
        <v>10.652799999999999</v>
      </c>
    </row>
    <row r="329" spans="1:3" x14ac:dyDescent="0.35">
      <c r="A329">
        <v>1862.087137</v>
      </c>
      <c r="B329">
        <v>10.651999999999999</v>
      </c>
      <c r="C329">
        <v>10.651899999999999</v>
      </c>
    </row>
    <row r="330" spans="1:3" x14ac:dyDescent="0.35">
      <c r="A330">
        <v>1905.460718</v>
      </c>
      <c r="B330">
        <v>10.6511</v>
      </c>
      <c r="C330">
        <v>10.651</v>
      </c>
    </row>
    <row r="331" spans="1:3" x14ac:dyDescent="0.35">
      <c r="A331">
        <v>1949.8445999999999</v>
      </c>
      <c r="B331">
        <v>10.6501</v>
      </c>
      <c r="C331">
        <v>10.65</v>
      </c>
    </row>
    <row r="332" spans="1:3" x14ac:dyDescent="0.35">
      <c r="A332">
        <v>1995.2623149999999</v>
      </c>
      <c r="B332">
        <v>10.649100000000001</v>
      </c>
      <c r="C332">
        <v>10.648999999999999</v>
      </c>
    </row>
    <row r="333" spans="1:3" x14ac:dyDescent="0.35">
      <c r="A333">
        <v>2041.7379450000001</v>
      </c>
      <c r="B333">
        <v>10.648099999999999</v>
      </c>
      <c r="C333">
        <v>10.648</v>
      </c>
    </row>
    <row r="334" spans="1:3" x14ac:dyDescent="0.35">
      <c r="A334">
        <v>2089.2961310000001</v>
      </c>
      <c r="B334">
        <v>10.647</v>
      </c>
      <c r="C334">
        <v>10.6469</v>
      </c>
    </row>
    <row r="335" spans="1:3" x14ac:dyDescent="0.35">
      <c r="A335">
        <v>2137.96209</v>
      </c>
      <c r="B335">
        <v>10.645799999999999</v>
      </c>
      <c r="C335">
        <v>10.645799999999999</v>
      </c>
    </row>
    <row r="336" spans="1:3" x14ac:dyDescent="0.35">
      <c r="A336">
        <v>2187.7616240000002</v>
      </c>
      <c r="B336">
        <v>10.644600000000001</v>
      </c>
      <c r="C336">
        <v>10.644600000000001</v>
      </c>
    </row>
    <row r="337" spans="1:3" x14ac:dyDescent="0.35">
      <c r="A337">
        <v>2238.7211390000002</v>
      </c>
      <c r="B337">
        <v>10.6434</v>
      </c>
      <c r="C337">
        <v>10.6433</v>
      </c>
    </row>
    <row r="338" spans="1:3" x14ac:dyDescent="0.35">
      <c r="A338">
        <v>2290.8676529999998</v>
      </c>
      <c r="B338">
        <v>10.641999999999999</v>
      </c>
      <c r="C338">
        <v>10.641999999999999</v>
      </c>
    </row>
    <row r="339" spans="1:3" x14ac:dyDescent="0.35">
      <c r="A339">
        <v>2344.2288149999999</v>
      </c>
      <c r="B339">
        <v>10.640700000000001</v>
      </c>
      <c r="C339">
        <v>10.640599999999999</v>
      </c>
    </row>
    <row r="340" spans="1:3" x14ac:dyDescent="0.35">
      <c r="A340">
        <v>2398.8329189999999</v>
      </c>
      <c r="B340">
        <v>10.639200000000001</v>
      </c>
      <c r="C340">
        <v>10.639200000000001</v>
      </c>
    </row>
    <row r="341" spans="1:3" x14ac:dyDescent="0.35">
      <c r="A341">
        <v>2454.708916</v>
      </c>
      <c r="B341">
        <v>10.637700000000001</v>
      </c>
      <c r="C341">
        <v>10.637600000000001</v>
      </c>
    </row>
    <row r="342" spans="1:3" x14ac:dyDescent="0.35">
      <c r="A342">
        <v>2511.8864319999998</v>
      </c>
      <c r="B342">
        <v>10.636100000000001</v>
      </c>
      <c r="C342">
        <v>10.636100000000001</v>
      </c>
    </row>
    <row r="343" spans="1:3" x14ac:dyDescent="0.35">
      <c r="A343">
        <v>2570.3957829999999</v>
      </c>
      <c r="B343">
        <v>10.634399999999999</v>
      </c>
      <c r="C343">
        <v>10.634399999999999</v>
      </c>
    </row>
    <row r="344" spans="1:3" x14ac:dyDescent="0.35">
      <c r="A344">
        <v>2630.267992</v>
      </c>
      <c r="B344">
        <v>10.6327</v>
      </c>
      <c r="C344">
        <v>10.6327</v>
      </c>
    </row>
    <row r="345" spans="1:3" x14ac:dyDescent="0.35">
      <c r="A345">
        <v>2691.5348039999999</v>
      </c>
      <c r="B345">
        <v>10.6309</v>
      </c>
      <c r="C345">
        <v>10.630800000000001</v>
      </c>
    </row>
    <row r="346" spans="1:3" x14ac:dyDescent="0.35">
      <c r="A346">
        <v>2754.2287030000002</v>
      </c>
      <c r="B346">
        <v>10.629</v>
      </c>
      <c r="C346">
        <v>10.6289</v>
      </c>
    </row>
    <row r="347" spans="1:3" x14ac:dyDescent="0.35">
      <c r="A347">
        <v>2818.3829310000001</v>
      </c>
      <c r="B347">
        <v>10.627000000000001</v>
      </c>
      <c r="C347">
        <v>10.626899999999999</v>
      </c>
    </row>
    <row r="348" spans="1:3" x14ac:dyDescent="0.35">
      <c r="A348">
        <v>2884.0315030000002</v>
      </c>
      <c r="B348">
        <v>10.6249</v>
      </c>
      <c r="C348">
        <v>10.6249</v>
      </c>
    </row>
    <row r="349" spans="1:3" x14ac:dyDescent="0.35">
      <c r="A349">
        <v>2951.2092269999998</v>
      </c>
      <c r="B349">
        <v>10.6227</v>
      </c>
      <c r="C349">
        <v>10.6227</v>
      </c>
    </row>
    <row r="350" spans="1:3" x14ac:dyDescent="0.35">
      <c r="A350">
        <v>3019.95172</v>
      </c>
      <c r="B350">
        <v>10.6204</v>
      </c>
      <c r="C350">
        <v>10.6204</v>
      </c>
    </row>
    <row r="351" spans="1:3" x14ac:dyDescent="0.35">
      <c r="A351">
        <v>3090.2954329999998</v>
      </c>
      <c r="B351">
        <v>10.618</v>
      </c>
      <c r="C351">
        <v>10.618</v>
      </c>
    </row>
    <row r="352" spans="1:3" x14ac:dyDescent="0.35">
      <c r="A352">
        <v>3162.2776600000002</v>
      </c>
      <c r="B352">
        <v>10.615500000000001</v>
      </c>
      <c r="C352">
        <v>10.615500000000001</v>
      </c>
    </row>
    <row r="353" spans="1:3" x14ac:dyDescent="0.35">
      <c r="A353">
        <v>3235.936569</v>
      </c>
      <c r="B353">
        <v>10.6129</v>
      </c>
      <c r="C353">
        <v>10.6129</v>
      </c>
    </row>
    <row r="354" spans="1:3" x14ac:dyDescent="0.35">
      <c r="A354">
        <v>3311.3112150000002</v>
      </c>
      <c r="B354">
        <v>10.610200000000001</v>
      </c>
      <c r="C354">
        <v>10.610099999999999</v>
      </c>
    </row>
    <row r="355" spans="1:3" x14ac:dyDescent="0.35">
      <c r="A355">
        <v>3388.4415610000001</v>
      </c>
      <c r="B355">
        <v>10.6073</v>
      </c>
      <c r="C355">
        <v>10.6073</v>
      </c>
    </row>
    <row r="356" spans="1:3" x14ac:dyDescent="0.35">
      <c r="A356">
        <v>3467.3685049999999</v>
      </c>
      <c r="B356">
        <v>10.6043</v>
      </c>
      <c r="C356">
        <v>10.6043</v>
      </c>
    </row>
    <row r="357" spans="1:3" x14ac:dyDescent="0.35">
      <c r="A357">
        <v>3548.1338919999998</v>
      </c>
      <c r="B357">
        <v>10.601100000000001</v>
      </c>
      <c r="C357">
        <v>10.601100000000001</v>
      </c>
    </row>
    <row r="358" spans="1:3" x14ac:dyDescent="0.35">
      <c r="A358">
        <v>3630.7805480000002</v>
      </c>
      <c r="B358">
        <v>10.597899999999999</v>
      </c>
      <c r="C358">
        <v>10.597799999999999</v>
      </c>
    </row>
    <row r="359" spans="1:3" x14ac:dyDescent="0.35">
      <c r="A359">
        <v>3715.3522910000002</v>
      </c>
      <c r="B359">
        <v>10.5944</v>
      </c>
      <c r="C359">
        <v>10.5944</v>
      </c>
    </row>
    <row r="360" spans="1:3" x14ac:dyDescent="0.35">
      <c r="A360">
        <v>3801.893963</v>
      </c>
      <c r="B360">
        <v>10.5908</v>
      </c>
      <c r="C360">
        <v>10.5908</v>
      </c>
    </row>
    <row r="361" spans="1:3" x14ac:dyDescent="0.35">
      <c r="A361">
        <v>3890.45145</v>
      </c>
      <c r="B361">
        <v>10.587</v>
      </c>
      <c r="C361">
        <v>10.587</v>
      </c>
    </row>
    <row r="362" spans="1:3" x14ac:dyDescent="0.35">
      <c r="A362">
        <v>3981.0717060000002</v>
      </c>
      <c r="B362">
        <v>10.5831</v>
      </c>
      <c r="C362">
        <v>10.5831</v>
      </c>
    </row>
    <row r="363" spans="1:3" x14ac:dyDescent="0.35">
      <c r="A363">
        <v>4073.8027780000002</v>
      </c>
      <c r="B363">
        <v>10.579000000000001</v>
      </c>
      <c r="C363">
        <v>10.579000000000001</v>
      </c>
    </row>
    <row r="364" spans="1:3" x14ac:dyDescent="0.35">
      <c r="A364">
        <v>4168.693835</v>
      </c>
      <c r="B364">
        <v>10.5747</v>
      </c>
      <c r="C364">
        <v>10.5746</v>
      </c>
    </row>
    <row r="365" spans="1:3" x14ac:dyDescent="0.35">
      <c r="A365">
        <v>4265.7951880000001</v>
      </c>
      <c r="B365">
        <v>10.5701</v>
      </c>
      <c r="C365">
        <v>10.5701</v>
      </c>
    </row>
    <row r="366" spans="1:3" x14ac:dyDescent="0.35">
      <c r="A366">
        <v>4365.1583220000002</v>
      </c>
      <c r="B366">
        <v>10.5654</v>
      </c>
      <c r="C366">
        <v>10.5654</v>
      </c>
    </row>
    <row r="367" spans="1:3" x14ac:dyDescent="0.35">
      <c r="A367">
        <v>4466.8359220000002</v>
      </c>
      <c r="B367">
        <v>10.560499999999999</v>
      </c>
      <c r="C367">
        <v>10.560499999999999</v>
      </c>
    </row>
    <row r="368" spans="1:3" x14ac:dyDescent="0.35">
      <c r="A368">
        <v>4570.8818959999999</v>
      </c>
      <c r="B368">
        <v>10.555300000000001</v>
      </c>
      <c r="C368">
        <v>10.555300000000001</v>
      </c>
    </row>
    <row r="369" spans="1:3" x14ac:dyDescent="0.35">
      <c r="A369">
        <v>4677.3514130000003</v>
      </c>
      <c r="B369">
        <v>10.549899999999999</v>
      </c>
      <c r="C369">
        <v>10.549899999999999</v>
      </c>
    </row>
    <row r="370" spans="1:3" x14ac:dyDescent="0.35">
      <c r="A370">
        <v>4786.3009229999998</v>
      </c>
      <c r="B370">
        <v>10.5443</v>
      </c>
      <c r="C370">
        <v>10.5443</v>
      </c>
    </row>
    <row r="371" spans="1:3" x14ac:dyDescent="0.35">
      <c r="A371">
        <v>4897.7881939999997</v>
      </c>
      <c r="B371">
        <v>10.538399999999999</v>
      </c>
      <c r="C371">
        <v>10.5383</v>
      </c>
    </row>
    <row r="372" spans="1:3" x14ac:dyDescent="0.35">
      <c r="A372">
        <v>5011.8723360000004</v>
      </c>
      <c r="B372">
        <v>10.5322</v>
      </c>
      <c r="C372">
        <v>10.5322</v>
      </c>
    </row>
    <row r="373" spans="1:3" x14ac:dyDescent="0.35">
      <c r="A373">
        <v>5128.61384</v>
      </c>
      <c r="B373">
        <v>10.525700000000001</v>
      </c>
      <c r="C373">
        <v>10.525700000000001</v>
      </c>
    </row>
    <row r="374" spans="1:3" x14ac:dyDescent="0.35">
      <c r="A374">
        <v>5248.0746019999997</v>
      </c>
      <c r="B374">
        <v>10.519</v>
      </c>
      <c r="C374">
        <v>10.519</v>
      </c>
    </row>
    <row r="375" spans="1:3" x14ac:dyDescent="0.35">
      <c r="A375">
        <v>5370.3179639999998</v>
      </c>
      <c r="B375">
        <v>10.511900000000001</v>
      </c>
      <c r="C375">
        <v>10.511900000000001</v>
      </c>
    </row>
    <row r="376" spans="1:3" x14ac:dyDescent="0.35">
      <c r="A376">
        <v>5495.4087390000004</v>
      </c>
      <c r="B376">
        <v>10.5045</v>
      </c>
      <c r="C376">
        <v>10.5045</v>
      </c>
    </row>
    <row r="377" spans="1:3" x14ac:dyDescent="0.35">
      <c r="A377">
        <v>5623.4132520000003</v>
      </c>
      <c r="B377">
        <v>10.4968</v>
      </c>
      <c r="C377">
        <v>10.4968</v>
      </c>
    </row>
    <row r="378" spans="1:3" x14ac:dyDescent="0.35">
      <c r="A378">
        <v>5754.3993730000002</v>
      </c>
      <c r="B378">
        <v>10.4887</v>
      </c>
      <c r="C378">
        <v>10.4887</v>
      </c>
    </row>
    <row r="379" spans="1:3" x14ac:dyDescent="0.35">
      <c r="A379">
        <v>5888.4365539999999</v>
      </c>
      <c r="B379">
        <v>10.4803</v>
      </c>
      <c r="C379">
        <v>10.4803</v>
      </c>
    </row>
    <row r="380" spans="1:3" x14ac:dyDescent="0.35">
      <c r="A380">
        <v>6025.5958609999998</v>
      </c>
      <c r="B380">
        <v>10.471500000000001</v>
      </c>
      <c r="C380">
        <v>10.471500000000001</v>
      </c>
    </row>
    <row r="381" spans="1:3" x14ac:dyDescent="0.35">
      <c r="A381">
        <v>6165.9500189999999</v>
      </c>
      <c r="B381">
        <v>10.462300000000001</v>
      </c>
      <c r="C381">
        <v>10.462300000000001</v>
      </c>
    </row>
    <row r="382" spans="1:3" x14ac:dyDescent="0.35">
      <c r="A382">
        <v>6309.573445</v>
      </c>
      <c r="B382">
        <v>10.4527</v>
      </c>
      <c r="C382">
        <v>10.4527</v>
      </c>
    </row>
    <row r="383" spans="1:3" x14ac:dyDescent="0.35">
      <c r="A383">
        <v>6456.5422900000003</v>
      </c>
      <c r="B383">
        <v>10.442600000000001</v>
      </c>
      <c r="C383">
        <v>10.442600000000001</v>
      </c>
    </row>
    <row r="384" spans="1:3" x14ac:dyDescent="0.35">
      <c r="A384">
        <v>6606.9344799999999</v>
      </c>
      <c r="B384">
        <v>10.4321</v>
      </c>
      <c r="C384">
        <v>10.4321</v>
      </c>
    </row>
    <row r="385" spans="1:3" x14ac:dyDescent="0.35">
      <c r="A385">
        <v>6760.8297540000003</v>
      </c>
      <c r="B385">
        <v>10.421200000000001</v>
      </c>
      <c r="C385">
        <v>10.421200000000001</v>
      </c>
    </row>
    <row r="386" spans="1:3" x14ac:dyDescent="0.35">
      <c r="A386">
        <v>6918.3097090000001</v>
      </c>
      <c r="B386">
        <v>10.409700000000001</v>
      </c>
      <c r="C386">
        <v>10.409700000000001</v>
      </c>
    </row>
    <row r="387" spans="1:3" x14ac:dyDescent="0.35">
      <c r="A387">
        <v>7079.4578439999996</v>
      </c>
      <c r="B387">
        <v>10.3978</v>
      </c>
      <c r="C387">
        <v>10.3978</v>
      </c>
    </row>
    <row r="388" spans="1:3" x14ac:dyDescent="0.35">
      <c r="A388">
        <v>7244.3596010000001</v>
      </c>
      <c r="B388">
        <v>10.385300000000001</v>
      </c>
      <c r="C388">
        <v>10.385300000000001</v>
      </c>
    </row>
    <row r="389" spans="1:3" x14ac:dyDescent="0.35">
      <c r="A389">
        <v>7413.1024129999996</v>
      </c>
      <c r="B389">
        <v>10.372199999999999</v>
      </c>
      <c r="C389">
        <v>10.372199999999999</v>
      </c>
    </row>
    <row r="390" spans="1:3" x14ac:dyDescent="0.35">
      <c r="A390">
        <v>7585.7757499999998</v>
      </c>
      <c r="B390">
        <v>10.358599999999999</v>
      </c>
      <c r="C390">
        <v>10.358599999999999</v>
      </c>
    </row>
    <row r="391" spans="1:3" x14ac:dyDescent="0.35">
      <c r="A391">
        <v>7762.4711660000003</v>
      </c>
      <c r="B391">
        <v>10.3444</v>
      </c>
      <c r="C391">
        <v>10.3444</v>
      </c>
    </row>
    <row r="392" spans="1:3" x14ac:dyDescent="0.35">
      <c r="A392">
        <v>7943.2823470000003</v>
      </c>
      <c r="B392">
        <v>10.329599999999999</v>
      </c>
      <c r="C392">
        <v>10.329599999999999</v>
      </c>
    </row>
    <row r="393" spans="1:3" x14ac:dyDescent="0.35">
      <c r="A393">
        <v>8128.3051619999997</v>
      </c>
      <c r="B393">
        <v>10.3141</v>
      </c>
      <c r="C393">
        <v>10.3141</v>
      </c>
    </row>
    <row r="394" spans="1:3" x14ac:dyDescent="0.35">
      <c r="A394">
        <v>8317.6377109999994</v>
      </c>
      <c r="B394">
        <v>10.298</v>
      </c>
      <c r="C394">
        <v>10.298</v>
      </c>
    </row>
    <row r="395" spans="1:3" x14ac:dyDescent="0.35">
      <c r="A395">
        <v>8511.3803819999994</v>
      </c>
      <c r="B395">
        <v>10.2812</v>
      </c>
      <c r="C395">
        <v>10.2812</v>
      </c>
    </row>
    <row r="396" spans="1:3" x14ac:dyDescent="0.35">
      <c r="A396">
        <v>8709.6358999999993</v>
      </c>
      <c r="B396">
        <v>10.2636</v>
      </c>
      <c r="C396">
        <v>10.2636</v>
      </c>
    </row>
    <row r="397" spans="1:3" x14ac:dyDescent="0.35">
      <c r="A397">
        <v>8912.5093809999998</v>
      </c>
      <c r="B397">
        <v>10.2453</v>
      </c>
      <c r="C397">
        <v>10.2453</v>
      </c>
    </row>
    <row r="398" spans="1:3" x14ac:dyDescent="0.35">
      <c r="A398">
        <v>9120.1083940000008</v>
      </c>
      <c r="B398">
        <v>10.2262</v>
      </c>
      <c r="C398">
        <v>10.2262</v>
      </c>
    </row>
    <row r="399" spans="1:3" x14ac:dyDescent="0.35">
      <c r="A399">
        <v>9332.5430080000006</v>
      </c>
      <c r="B399">
        <v>10.206300000000001</v>
      </c>
      <c r="C399">
        <v>10.206300000000001</v>
      </c>
    </row>
    <row r="400" spans="1:3" x14ac:dyDescent="0.35">
      <c r="A400">
        <v>9549.9258599999994</v>
      </c>
      <c r="B400">
        <v>10.185499999999999</v>
      </c>
      <c r="C400">
        <v>10.185499999999999</v>
      </c>
    </row>
    <row r="401" spans="1:3" x14ac:dyDescent="0.35">
      <c r="A401">
        <v>9772.3722099999995</v>
      </c>
      <c r="B401">
        <v>10.1639</v>
      </c>
      <c r="C401">
        <v>10.1639</v>
      </c>
    </row>
    <row r="402" spans="1:3" x14ac:dyDescent="0.35">
      <c r="A402">
        <v>10000</v>
      </c>
      <c r="B402">
        <v>10.141400000000001</v>
      </c>
      <c r="C402">
        <v>10.141400000000001</v>
      </c>
    </row>
    <row r="403" spans="1:3" x14ac:dyDescent="0.35">
      <c r="A403">
        <v>10232.92992</v>
      </c>
      <c r="B403">
        <v>10.117900000000001</v>
      </c>
      <c r="C403">
        <v>10.117900000000001</v>
      </c>
    </row>
    <row r="404" spans="1:3" x14ac:dyDescent="0.35">
      <c r="A404">
        <v>10471.28548</v>
      </c>
      <c r="B404">
        <v>10.093500000000001</v>
      </c>
      <c r="C404">
        <v>10.093500000000001</v>
      </c>
    </row>
    <row r="405" spans="1:3" x14ac:dyDescent="0.35">
      <c r="A405">
        <v>10715.19305</v>
      </c>
      <c r="B405">
        <v>10.068099999999999</v>
      </c>
      <c r="C405">
        <v>10.068099999999999</v>
      </c>
    </row>
    <row r="406" spans="1:3" x14ac:dyDescent="0.35">
      <c r="A406">
        <v>10964.78196</v>
      </c>
      <c r="B406">
        <v>10.041600000000001</v>
      </c>
      <c r="C406">
        <v>10.041600000000001</v>
      </c>
    </row>
    <row r="407" spans="1:3" x14ac:dyDescent="0.35">
      <c r="A407">
        <v>11220.18454</v>
      </c>
      <c r="B407">
        <v>10.014099999999999</v>
      </c>
      <c r="C407">
        <v>10.014099999999999</v>
      </c>
    </row>
    <row r="408" spans="1:3" x14ac:dyDescent="0.35">
      <c r="A408">
        <v>11481.53621</v>
      </c>
      <c r="B408">
        <v>9.9854000000000003</v>
      </c>
      <c r="C408">
        <v>9.9853900000000007</v>
      </c>
    </row>
    <row r="409" spans="1:3" x14ac:dyDescent="0.35">
      <c r="A409">
        <v>11748.975549999999</v>
      </c>
      <c r="B409">
        <v>9.9555799999999994</v>
      </c>
      <c r="C409">
        <v>9.9555799999999994</v>
      </c>
    </row>
    <row r="410" spans="1:3" x14ac:dyDescent="0.35">
      <c r="A410">
        <v>12022.64435</v>
      </c>
      <c r="B410">
        <v>9.9245800000000006</v>
      </c>
      <c r="C410">
        <v>9.9245800000000006</v>
      </c>
    </row>
    <row r="411" spans="1:3" x14ac:dyDescent="0.35">
      <c r="A411">
        <v>12302.68771</v>
      </c>
      <c r="B411">
        <v>9.89236</v>
      </c>
      <c r="C411">
        <v>9.89236</v>
      </c>
    </row>
    <row r="412" spans="1:3" x14ac:dyDescent="0.35">
      <c r="A412">
        <v>12589.25412</v>
      </c>
      <c r="B412">
        <v>9.8588699999999996</v>
      </c>
      <c r="C412">
        <v>9.8588699999999996</v>
      </c>
    </row>
    <row r="413" spans="1:3" x14ac:dyDescent="0.35">
      <c r="A413">
        <v>12882.49552</v>
      </c>
      <c r="B413">
        <v>9.8240800000000004</v>
      </c>
      <c r="C413">
        <v>9.8240800000000004</v>
      </c>
    </row>
    <row r="414" spans="1:3" x14ac:dyDescent="0.35">
      <c r="A414">
        <v>13182.56739</v>
      </c>
      <c r="B414">
        <v>9.7879400000000008</v>
      </c>
      <c r="C414">
        <v>9.7879400000000008</v>
      </c>
    </row>
    <row r="415" spans="1:3" x14ac:dyDescent="0.35">
      <c r="A415">
        <v>13489.62883</v>
      </c>
      <c r="B415">
        <v>9.7504200000000001</v>
      </c>
      <c r="C415">
        <v>9.7504200000000001</v>
      </c>
    </row>
    <row r="416" spans="1:3" x14ac:dyDescent="0.35">
      <c r="A416">
        <v>13803.842650000001</v>
      </c>
      <c r="B416">
        <v>9.7114799999999999</v>
      </c>
      <c r="C416">
        <v>9.7114700000000003</v>
      </c>
    </row>
    <row r="417" spans="1:3" x14ac:dyDescent="0.35">
      <c r="A417">
        <v>14125.37545</v>
      </c>
      <c r="B417">
        <v>9.6710700000000003</v>
      </c>
      <c r="C417">
        <v>9.6710600000000007</v>
      </c>
    </row>
    <row r="418" spans="1:3" x14ac:dyDescent="0.35">
      <c r="A418">
        <v>14454.397709999999</v>
      </c>
      <c r="B418">
        <v>9.6291499999999992</v>
      </c>
      <c r="C418">
        <v>9.6291499999999992</v>
      </c>
    </row>
    <row r="419" spans="1:3" x14ac:dyDescent="0.35">
      <c r="A419">
        <v>14791.08388</v>
      </c>
      <c r="B419">
        <v>9.5856899999999996</v>
      </c>
      <c r="C419">
        <v>9.5856899999999996</v>
      </c>
    </row>
    <row r="420" spans="1:3" x14ac:dyDescent="0.35">
      <c r="A420">
        <v>15135.61248</v>
      </c>
      <c r="B420">
        <v>9.5406399999999998</v>
      </c>
      <c r="C420">
        <v>9.5406399999999998</v>
      </c>
    </row>
    <row r="421" spans="1:3" x14ac:dyDescent="0.35">
      <c r="A421">
        <v>15488.16619</v>
      </c>
      <c r="B421">
        <v>9.4939699999999991</v>
      </c>
      <c r="C421">
        <v>9.4939599999999995</v>
      </c>
    </row>
    <row r="422" spans="1:3" x14ac:dyDescent="0.35">
      <c r="A422">
        <v>15848.931920000001</v>
      </c>
      <c r="B422">
        <v>9.4456199999999999</v>
      </c>
      <c r="C422">
        <v>9.4456199999999999</v>
      </c>
    </row>
    <row r="423" spans="1:3" x14ac:dyDescent="0.35">
      <c r="A423">
        <v>16218.10097</v>
      </c>
      <c r="B423">
        <v>9.3955699999999993</v>
      </c>
      <c r="C423">
        <v>9.3955699999999993</v>
      </c>
    </row>
    <row r="424" spans="1:3" x14ac:dyDescent="0.35">
      <c r="A424">
        <v>16595.869070000001</v>
      </c>
      <c r="B424">
        <v>9.3437699999999992</v>
      </c>
      <c r="C424">
        <v>9.3437699999999992</v>
      </c>
    </row>
    <row r="425" spans="1:3" x14ac:dyDescent="0.35">
      <c r="A425">
        <v>16982.436519999999</v>
      </c>
      <c r="B425">
        <v>9.2901799999999994</v>
      </c>
      <c r="C425">
        <v>9.2901799999999994</v>
      </c>
    </row>
    <row r="426" spans="1:3" x14ac:dyDescent="0.35">
      <c r="A426">
        <v>17378.008290000002</v>
      </c>
      <c r="B426">
        <v>9.2347599999999996</v>
      </c>
      <c r="C426">
        <v>9.2347599999999996</v>
      </c>
    </row>
    <row r="427" spans="1:3" x14ac:dyDescent="0.35">
      <c r="A427">
        <v>17782.794099999999</v>
      </c>
      <c r="B427">
        <v>9.1774799999999992</v>
      </c>
      <c r="C427">
        <v>9.1774799999999992</v>
      </c>
    </row>
    <row r="428" spans="1:3" x14ac:dyDescent="0.35">
      <c r="A428">
        <v>18197.008590000001</v>
      </c>
      <c r="B428">
        <v>9.1182999999999996</v>
      </c>
      <c r="C428">
        <v>9.1182999999999996</v>
      </c>
    </row>
    <row r="429" spans="1:3" x14ac:dyDescent="0.35">
      <c r="A429">
        <v>18620.871370000001</v>
      </c>
      <c r="B429">
        <v>9.0571900000000003</v>
      </c>
      <c r="C429">
        <v>9.0571800000000007</v>
      </c>
    </row>
    <row r="430" spans="1:3" x14ac:dyDescent="0.35">
      <c r="A430">
        <v>19054.607179999999</v>
      </c>
      <c r="B430">
        <v>8.9940999999999995</v>
      </c>
      <c r="C430">
        <v>8.9940899999999999</v>
      </c>
    </row>
    <row r="431" spans="1:3" x14ac:dyDescent="0.35">
      <c r="A431">
        <v>19498.446</v>
      </c>
      <c r="B431">
        <v>8.9290000000000003</v>
      </c>
      <c r="C431">
        <v>8.9290000000000003</v>
      </c>
    </row>
    <row r="432" spans="1:3" x14ac:dyDescent="0.35">
      <c r="A432">
        <v>19952.623149999999</v>
      </c>
      <c r="B432">
        <v>8.8618600000000001</v>
      </c>
      <c r="C432">
        <v>8.8618600000000001</v>
      </c>
    </row>
    <row r="433" spans="1:3" x14ac:dyDescent="0.35">
      <c r="A433">
        <v>20417.37945</v>
      </c>
      <c r="B433">
        <v>8.7926599999999997</v>
      </c>
      <c r="C433">
        <v>8.7926599999999997</v>
      </c>
    </row>
    <row r="434" spans="1:3" x14ac:dyDescent="0.35">
      <c r="A434">
        <v>20892.961309999999</v>
      </c>
      <c r="B434">
        <v>8.7213499999999993</v>
      </c>
      <c r="C434">
        <v>8.7213499999999993</v>
      </c>
    </row>
    <row r="435" spans="1:3" x14ac:dyDescent="0.35">
      <c r="A435">
        <v>21379.620900000002</v>
      </c>
      <c r="B435">
        <v>8.6479199999999992</v>
      </c>
      <c r="C435">
        <v>8.6479199999999992</v>
      </c>
    </row>
    <row r="436" spans="1:3" x14ac:dyDescent="0.35">
      <c r="A436">
        <v>21877.616239999999</v>
      </c>
      <c r="B436">
        <v>8.5723400000000005</v>
      </c>
      <c r="C436">
        <v>8.5723400000000005</v>
      </c>
    </row>
    <row r="437" spans="1:3" x14ac:dyDescent="0.35">
      <c r="A437">
        <v>22387.21139</v>
      </c>
      <c r="B437">
        <v>8.4945699999999995</v>
      </c>
      <c r="C437">
        <v>8.4945699999999995</v>
      </c>
    </row>
    <row r="438" spans="1:3" x14ac:dyDescent="0.35">
      <c r="A438">
        <v>22908.676530000001</v>
      </c>
      <c r="B438">
        <v>8.4146099999999997</v>
      </c>
      <c r="C438">
        <v>8.4146099999999997</v>
      </c>
    </row>
    <row r="439" spans="1:3" x14ac:dyDescent="0.35">
      <c r="A439">
        <v>23442.28815</v>
      </c>
      <c r="B439">
        <v>8.3324200000000008</v>
      </c>
      <c r="C439">
        <v>8.3324200000000008</v>
      </c>
    </row>
    <row r="440" spans="1:3" x14ac:dyDescent="0.35">
      <c r="A440">
        <v>23988.32919</v>
      </c>
      <c r="B440">
        <v>8.2479999999999993</v>
      </c>
      <c r="C440">
        <v>8.2479999999999993</v>
      </c>
    </row>
    <row r="441" spans="1:3" x14ac:dyDescent="0.35">
      <c r="A441">
        <v>24547.08916</v>
      </c>
      <c r="B441">
        <v>8.1613199999999999</v>
      </c>
      <c r="C441">
        <v>8.1613100000000003</v>
      </c>
    </row>
    <row r="442" spans="1:3" x14ac:dyDescent="0.35">
      <c r="A442">
        <v>25118.864320000001</v>
      </c>
      <c r="B442">
        <v>8.0723599999999998</v>
      </c>
      <c r="C442">
        <v>8.0723599999999998</v>
      </c>
    </row>
    <row r="443" spans="1:3" x14ac:dyDescent="0.35">
      <c r="A443">
        <v>25703.957829999999</v>
      </c>
      <c r="B443">
        <v>7.9811300000000003</v>
      </c>
      <c r="C443">
        <v>7.9811300000000003</v>
      </c>
    </row>
    <row r="444" spans="1:3" x14ac:dyDescent="0.35">
      <c r="A444">
        <v>26302.679919999999</v>
      </c>
      <c r="B444">
        <v>7.8876099999999996</v>
      </c>
      <c r="C444">
        <v>7.8876099999999996</v>
      </c>
    </row>
    <row r="445" spans="1:3" x14ac:dyDescent="0.35">
      <c r="A445">
        <v>26915.348040000001</v>
      </c>
      <c r="B445">
        <v>7.7917899999999998</v>
      </c>
      <c r="C445">
        <v>7.7917899999999998</v>
      </c>
    </row>
    <row r="446" spans="1:3" x14ac:dyDescent="0.35">
      <c r="A446">
        <v>27542.28703</v>
      </c>
      <c r="B446">
        <v>7.6936600000000004</v>
      </c>
      <c r="C446">
        <v>7.6936600000000004</v>
      </c>
    </row>
    <row r="447" spans="1:3" x14ac:dyDescent="0.35">
      <c r="A447">
        <v>28183.829310000001</v>
      </c>
      <c r="B447">
        <v>7.5932399999999998</v>
      </c>
      <c r="C447">
        <v>7.5932399999999998</v>
      </c>
    </row>
    <row r="448" spans="1:3" x14ac:dyDescent="0.35">
      <c r="A448">
        <v>28840.315030000002</v>
      </c>
      <c r="B448">
        <v>7.4904999999999999</v>
      </c>
      <c r="C448">
        <v>7.4904999999999999</v>
      </c>
    </row>
    <row r="449" spans="1:3" x14ac:dyDescent="0.35">
      <c r="A449">
        <v>29512.092270000001</v>
      </c>
      <c r="B449">
        <v>7.3854699999999998</v>
      </c>
      <c r="C449">
        <v>7.3854699999999998</v>
      </c>
    </row>
    <row r="450" spans="1:3" x14ac:dyDescent="0.35">
      <c r="A450">
        <v>30199.517199999998</v>
      </c>
      <c r="B450">
        <v>7.2781399999999996</v>
      </c>
      <c r="C450">
        <v>7.2781399999999996</v>
      </c>
    </row>
    <row r="451" spans="1:3" x14ac:dyDescent="0.35">
      <c r="A451">
        <v>30902.95433</v>
      </c>
      <c r="B451">
        <v>7.16852</v>
      </c>
      <c r="C451">
        <v>7.16852</v>
      </c>
    </row>
    <row r="452" spans="1:3" x14ac:dyDescent="0.35">
      <c r="A452">
        <v>31622.776600000001</v>
      </c>
      <c r="B452">
        <v>7.0566300000000002</v>
      </c>
      <c r="C452">
        <v>7.0566199999999997</v>
      </c>
    </row>
    <row r="453" spans="1:3" x14ac:dyDescent="0.35">
      <c r="A453">
        <v>32359.365689999999</v>
      </c>
      <c r="B453">
        <v>6.9424599999999996</v>
      </c>
      <c r="C453">
        <v>6.9424599999999996</v>
      </c>
    </row>
    <row r="454" spans="1:3" x14ac:dyDescent="0.35">
      <c r="A454">
        <v>33113.112150000001</v>
      </c>
      <c r="B454">
        <v>6.8260500000000004</v>
      </c>
      <c r="C454">
        <v>6.8260399999999999</v>
      </c>
    </row>
    <row r="455" spans="1:3" x14ac:dyDescent="0.35">
      <c r="A455">
        <v>33884.415609999996</v>
      </c>
      <c r="B455">
        <v>6.7073900000000002</v>
      </c>
      <c r="C455">
        <v>6.7073900000000002</v>
      </c>
    </row>
    <row r="456" spans="1:3" x14ac:dyDescent="0.35">
      <c r="A456">
        <v>34673.68505</v>
      </c>
      <c r="B456">
        <v>6.5865299999999998</v>
      </c>
      <c r="C456">
        <v>6.5865200000000002</v>
      </c>
    </row>
    <row r="457" spans="1:3" x14ac:dyDescent="0.35">
      <c r="A457">
        <v>35481.338920000002</v>
      </c>
      <c r="B457">
        <v>6.4634600000000004</v>
      </c>
      <c r="C457">
        <v>6.4634600000000004</v>
      </c>
    </row>
    <row r="458" spans="1:3" x14ac:dyDescent="0.35">
      <c r="A458">
        <v>36307.805480000003</v>
      </c>
      <c r="B458">
        <v>6.3382199999999997</v>
      </c>
      <c r="C458">
        <v>6.3382199999999997</v>
      </c>
    </row>
    <row r="459" spans="1:3" x14ac:dyDescent="0.35">
      <c r="A459">
        <v>37153.52291</v>
      </c>
      <c r="B459">
        <v>6.2108400000000001</v>
      </c>
      <c r="C459">
        <v>6.2108400000000001</v>
      </c>
    </row>
    <row r="460" spans="1:3" x14ac:dyDescent="0.35">
      <c r="A460">
        <v>38018.939630000001</v>
      </c>
      <c r="B460">
        <v>6.0813300000000003</v>
      </c>
      <c r="C460">
        <v>6.0813300000000003</v>
      </c>
    </row>
    <row r="461" spans="1:3" x14ac:dyDescent="0.35">
      <c r="A461">
        <v>38904.514499999997</v>
      </c>
      <c r="B461">
        <v>5.9497400000000003</v>
      </c>
      <c r="C461">
        <v>5.9497400000000003</v>
      </c>
    </row>
    <row r="462" spans="1:3" x14ac:dyDescent="0.35">
      <c r="A462">
        <v>39810.717060000003</v>
      </c>
      <c r="B462">
        <v>5.8160699999999999</v>
      </c>
      <c r="C462">
        <v>5.8160699999999999</v>
      </c>
    </row>
    <row r="463" spans="1:3" x14ac:dyDescent="0.35">
      <c r="A463">
        <v>40738.027779999997</v>
      </c>
      <c r="B463">
        <v>5.6803800000000004</v>
      </c>
      <c r="C463">
        <v>5.6803800000000004</v>
      </c>
    </row>
    <row r="464" spans="1:3" x14ac:dyDescent="0.35">
      <c r="A464">
        <v>41686.938349999997</v>
      </c>
      <c r="B464">
        <v>5.5426900000000003</v>
      </c>
      <c r="C464">
        <v>5.5426900000000003</v>
      </c>
    </row>
    <row r="465" spans="1:3" x14ac:dyDescent="0.35">
      <c r="A465">
        <v>42657.951880000001</v>
      </c>
      <c r="B465">
        <v>5.4030300000000002</v>
      </c>
      <c r="C465">
        <v>5.4030300000000002</v>
      </c>
    </row>
    <row r="466" spans="1:3" x14ac:dyDescent="0.35">
      <c r="A466">
        <v>43651.58322</v>
      </c>
      <c r="B466">
        <v>5.2614400000000003</v>
      </c>
      <c r="C466">
        <v>5.2614400000000003</v>
      </c>
    </row>
    <row r="467" spans="1:3" x14ac:dyDescent="0.35">
      <c r="A467">
        <v>44668.359219999998</v>
      </c>
      <c r="B467">
        <v>5.1179600000000001</v>
      </c>
      <c r="C467">
        <v>5.1179600000000001</v>
      </c>
    </row>
    <row r="468" spans="1:3" x14ac:dyDescent="0.35">
      <c r="A468">
        <v>45708.818959999997</v>
      </c>
      <c r="B468">
        <v>4.97262</v>
      </c>
      <c r="C468">
        <v>4.97262</v>
      </c>
    </row>
    <row r="469" spans="1:3" x14ac:dyDescent="0.35">
      <c r="A469">
        <v>46773.514130000003</v>
      </c>
      <c r="B469">
        <v>4.8254599999999996</v>
      </c>
      <c r="C469">
        <v>4.8254599999999996</v>
      </c>
    </row>
    <row r="470" spans="1:3" x14ac:dyDescent="0.35">
      <c r="A470">
        <v>47863.009230000003</v>
      </c>
      <c r="B470">
        <v>4.6765299999999996</v>
      </c>
      <c r="C470">
        <v>4.6765299999999996</v>
      </c>
    </row>
    <row r="471" spans="1:3" x14ac:dyDescent="0.35">
      <c r="A471">
        <v>48977.881939999999</v>
      </c>
      <c r="B471">
        <v>4.5258500000000002</v>
      </c>
      <c r="C471">
        <v>4.5258500000000002</v>
      </c>
    </row>
    <row r="472" spans="1:3" x14ac:dyDescent="0.35">
      <c r="A472">
        <v>50118.723360000004</v>
      </c>
      <c r="B472">
        <v>4.3734700000000002</v>
      </c>
      <c r="C472">
        <v>4.3734700000000002</v>
      </c>
    </row>
    <row r="473" spans="1:3" x14ac:dyDescent="0.35">
      <c r="A473">
        <v>51286.138400000003</v>
      </c>
      <c r="B473">
        <v>4.2194200000000004</v>
      </c>
      <c r="C473">
        <v>4.2194200000000004</v>
      </c>
    </row>
    <row r="474" spans="1:3" x14ac:dyDescent="0.35">
      <c r="A474">
        <v>52480.746019999999</v>
      </c>
      <c r="B474">
        <v>4.0637600000000003</v>
      </c>
      <c r="C474">
        <v>4.0637600000000003</v>
      </c>
    </row>
    <row r="475" spans="1:3" x14ac:dyDescent="0.35">
      <c r="A475">
        <v>53703.179640000002</v>
      </c>
      <c r="B475">
        <v>3.9065099999999999</v>
      </c>
      <c r="C475">
        <v>3.9065099999999999</v>
      </c>
    </row>
    <row r="476" spans="1:3" x14ac:dyDescent="0.35">
      <c r="A476">
        <v>54954.087390000001</v>
      </c>
      <c r="B476">
        <v>3.7477299999999998</v>
      </c>
      <c r="C476">
        <v>3.7477299999999998</v>
      </c>
    </row>
    <row r="477" spans="1:3" x14ac:dyDescent="0.35">
      <c r="A477">
        <v>56234.132519999999</v>
      </c>
      <c r="B477">
        <v>3.58744</v>
      </c>
      <c r="C477">
        <v>3.58744</v>
      </c>
    </row>
    <row r="478" spans="1:3" x14ac:dyDescent="0.35">
      <c r="A478">
        <v>57543.993730000002</v>
      </c>
      <c r="B478">
        <v>3.4256899999999999</v>
      </c>
      <c r="C478">
        <v>3.4256899999999999</v>
      </c>
    </row>
    <row r="479" spans="1:3" x14ac:dyDescent="0.35">
      <c r="A479">
        <v>58884.365539999999</v>
      </c>
      <c r="B479">
        <v>3.2625299999999999</v>
      </c>
      <c r="C479">
        <v>3.2625299999999999</v>
      </c>
    </row>
    <row r="480" spans="1:3" x14ac:dyDescent="0.35">
      <c r="A480">
        <v>60255.958610000001</v>
      </c>
      <c r="B480">
        <v>3.0979800000000002</v>
      </c>
      <c r="C480">
        <v>3.0979800000000002</v>
      </c>
    </row>
    <row r="481" spans="1:3" x14ac:dyDescent="0.35">
      <c r="A481">
        <v>61659.500189999999</v>
      </c>
      <c r="B481">
        <v>2.9320900000000001</v>
      </c>
      <c r="C481">
        <v>2.9320900000000001</v>
      </c>
    </row>
    <row r="482" spans="1:3" x14ac:dyDescent="0.35">
      <c r="A482">
        <v>63095.734450000004</v>
      </c>
      <c r="B482">
        <v>2.7648999999999999</v>
      </c>
      <c r="C482">
        <v>2.7648999999999999</v>
      </c>
    </row>
    <row r="483" spans="1:3" x14ac:dyDescent="0.35">
      <c r="A483">
        <v>64565.422899999998</v>
      </c>
      <c r="B483">
        <v>2.5964499999999999</v>
      </c>
      <c r="C483">
        <v>2.5964499999999999</v>
      </c>
    </row>
    <row r="484" spans="1:3" x14ac:dyDescent="0.35">
      <c r="A484">
        <v>66069.344800000006</v>
      </c>
      <c r="B484">
        <v>2.4267699999999999</v>
      </c>
      <c r="C484">
        <v>2.4267699999999999</v>
      </c>
    </row>
    <row r="485" spans="1:3" x14ac:dyDescent="0.35">
      <c r="A485">
        <v>67608.29754</v>
      </c>
      <c r="B485">
        <v>2.2559100000000001</v>
      </c>
      <c r="C485">
        <v>2.2559100000000001</v>
      </c>
    </row>
    <row r="486" spans="1:3" x14ac:dyDescent="0.35">
      <c r="A486">
        <v>69183.097089999996</v>
      </c>
      <c r="B486">
        <v>2.0838899999999998</v>
      </c>
      <c r="C486">
        <v>2.0838899999999998</v>
      </c>
    </row>
    <row r="487" spans="1:3" x14ac:dyDescent="0.35">
      <c r="A487">
        <v>70794.578439999997</v>
      </c>
      <c r="B487">
        <v>1.91076</v>
      </c>
      <c r="C487">
        <v>1.91076</v>
      </c>
    </row>
    <row r="488" spans="1:3" x14ac:dyDescent="0.35">
      <c r="A488">
        <v>72443.596009999994</v>
      </c>
      <c r="B488">
        <v>1.73655</v>
      </c>
      <c r="C488">
        <v>1.73655</v>
      </c>
    </row>
    <row r="489" spans="1:3" x14ac:dyDescent="0.35">
      <c r="A489">
        <v>74131.024130000005</v>
      </c>
      <c r="B489">
        <v>1.5612999999999999</v>
      </c>
      <c r="C489">
        <v>1.5612999999999999</v>
      </c>
    </row>
    <row r="490" spans="1:3" x14ac:dyDescent="0.35">
      <c r="A490">
        <v>75857.757500000007</v>
      </c>
      <c r="B490">
        <v>1.38504</v>
      </c>
      <c r="C490">
        <v>1.38504</v>
      </c>
    </row>
    <row r="491" spans="1:3" x14ac:dyDescent="0.35">
      <c r="A491">
        <v>77624.711660000001</v>
      </c>
      <c r="B491">
        <v>1.2078</v>
      </c>
      <c r="C491">
        <v>1.2078</v>
      </c>
    </row>
    <row r="492" spans="1:3" x14ac:dyDescent="0.35">
      <c r="A492">
        <v>79432.823470000003</v>
      </c>
      <c r="B492">
        <v>1.02962</v>
      </c>
      <c r="C492">
        <v>1.02962</v>
      </c>
    </row>
    <row r="493" spans="1:3" x14ac:dyDescent="0.35">
      <c r="A493">
        <v>81283.051619999998</v>
      </c>
      <c r="B493">
        <v>0.85052899999999998</v>
      </c>
      <c r="C493">
        <v>0.85052899999999998</v>
      </c>
    </row>
    <row r="494" spans="1:3" x14ac:dyDescent="0.35">
      <c r="A494">
        <v>83176.377110000001</v>
      </c>
      <c r="B494">
        <v>0.67055600000000004</v>
      </c>
      <c r="C494">
        <v>0.67055500000000001</v>
      </c>
    </row>
    <row r="495" spans="1:3" x14ac:dyDescent="0.35">
      <c r="A495">
        <v>85113.803820000001</v>
      </c>
      <c r="B495">
        <v>0.48973100000000003</v>
      </c>
      <c r="C495">
        <v>0.48973100000000003</v>
      </c>
    </row>
    <row r="496" spans="1:3" x14ac:dyDescent="0.35">
      <c r="A496">
        <v>87096.358999999997</v>
      </c>
      <c r="B496">
        <v>0.308085</v>
      </c>
      <c r="C496">
        <v>0.308085</v>
      </c>
    </row>
    <row r="497" spans="1:3" x14ac:dyDescent="0.35">
      <c r="A497">
        <v>89125.093810000006</v>
      </c>
      <c r="B497">
        <v>0.12564500000000001</v>
      </c>
      <c r="C497">
        <v>0.12564500000000001</v>
      </c>
    </row>
    <row r="498" spans="1:3" x14ac:dyDescent="0.35">
      <c r="A498">
        <v>91201.083939999997</v>
      </c>
      <c r="B498">
        <v>-5.7559899999999997E-2</v>
      </c>
      <c r="C498">
        <v>-5.7559899999999997E-2</v>
      </c>
    </row>
    <row r="499" spans="1:3" x14ac:dyDescent="0.35">
      <c r="A499">
        <v>93325.430080000006</v>
      </c>
      <c r="B499">
        <v>-0.241504</v>
      </c>
      <c r="C499">
        <v>-0.241504</v>
      </c>
    </row>
    <row r="500" spans="1:3" x14ac:dyDescent="0.35">
      <c r="A500">
        <v>95499.258600000001</v>
      </c>
      <c r="B500">
        <v>-0.42616199999999999</v>
      </c>
      <c r="C500">
        <v>-0.42616199999999999</v>
      </c>
    </row>
    <row r="501" spans="1:3" x14ac:dyDescent="0.35">
      <c r="A501">
        <v>97723.722099999999</v>
      </c>
      <c r="B501">
        <v>-0.61150800000000005</v>
      </c>
      <c r="C501">
        <v>-0.61150800000000005</v>
      </c>
    </row>
    <row r="502" spans="1:3" x14ac:dyDescent="0.35">
      <c r="A502">
        <v>100000</v>
      </c>
      <c r="B502">
        <v>-0.79751899999999998</v>
      </c>
      <c r="C502">
        <v>-0.79751899999999998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C1CC-4964-41E6-970C-7EB4452B7A07}">
  <dimension ref="A1:H1"/>
  <sheetViews>
    <sheetView zoomScale="140" zoomScaleNormal="140" workbookViewId="0"/>
  </sheetViews>
  <sheetFormatPr defaultRowHeight="14.5" x14ac:dyDescent="0.35"/>
  <sheetData>
    <row r="1" spans="1:8" x14ac:dyDescent="0.35">
      <c r="A1" t="s">
        <v>173</v>
      </c>
      <c r="H1" t="s">
        <v>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 Overview</vt:lpstr>
      <vt:lpstr>Mobile Phone Characterisation</vt:lpstr>
      <vt:lpstr>Design Calculations</vt:lpstr>
      <vt:lpstr>BOM</vt:lpstr>
      <vt:lpstr>Proteus - AFS (Dual Supply)</vt:lpstr>
      <vt:lpstr>Breadboard - AFS (Dual-Supply)</vt:lpstr>
      <vt:lpstr>Combined Dual Supply (BB+Sim)</vt:lpstr>
      <vt:lpstr>Proteus - AFS (Single-Supply)</vt:lpstr>
      <vt:lpstr>Breadboard - AFS (Single-Supply</vt:lpstr>
      <vt:lpstr>Combined Single Supply (BB+Sim)</vt:lpstr>
      <vt:lpstr>final-simulation ( Proteus)</vt:lpstr>
      <vt:lpstr>PCB - AFS (470n - Capacitor)</vt:lpstr>
      <vt:lpstr>PCB - final simulation (8r2)</vt:lpstr>
      <vt:lpstr>Combined Sim + PCB</vt:lpstr>
      <vt:lpstr>Working Area|PlayGround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 (Student)</dc:creator>
  <cp:lastModifiedBy>Isaac Adjei (Student)</cp:lastModifiedBy>
  <dcterms:created xsi:type="dcterms:W3CDTF">2026-02-18T23:00:18Z</dcterms:created>
  <dcterms:modified xsi:type="dcterms:W3CDTF">2026-03-03T12:14:53Z</dcterms:modified>
</cp:coreProperties>
</file>