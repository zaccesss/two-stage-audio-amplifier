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astonac-my.sharepoint.com/personal/240191278_aston_ac_uk/Documents/240191278_EECS_Beng/240191278_EECS (First Year)/EI1EL2 (Electronics 2)/Projects/Project 1 - Audio Amplifier Project/Project Briefing/Files/"/>
    </mc:Choice>
  </mc:AlternateContent>
  <xr:revisionPtr revIDLastSave="206" documentId="8_{20F10921-CD38-415C-8BE0-33EA5D747A2A}" xr6:coauthVersionLast="47" xr6:coauthVersionMax="47" xr10:uidLastSave="{569982CE-F4F5-43CB-A212-6511F9C7F725}"/>
  <bookViews>
    <workbookView xWindow="-110" yWindow="-110" windowWidth="19420" windowHeight="11500" xr2:uid="{9500039B-1F95-4858-A253-D2836D90A48B}"/>
  </bookViews>
  <sheets>
    <sheet name="Figure 1 - BPF" sheetId="1" r:id="rId1"/>
    <sheet name="Figure 3 - Passive vs Activ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" i="1"/>
</calcChain>
</file>

<file path=xl/sharedStrings.xml><?xml version="1.0" encoding="utf-8"?>
<sst xmlns="http://schemas.openxmlformats.org/spreadsheetml/2006/main" count="11" uniqueCount="10">
  <si>
    <t>Frequency (Hz)</t>
  </si>
  <si>
    <t>Gain (dB)</t>
  </si>
  <si>
    <t>3dB_x</t>
  </si>
  <si>
    <t>3dB_y</t>
  </si>
  <si>
    <t>fL_x</t>
  </si>
  <si>
    <t>fL_y</t>
  </si>
  <si>
    <t>fH_x</t>
  </si>
  <si>
    <t>fH_y</t>
  </si>
  <si>
    <t>Active BPF (dB)</t>
  </si>
  <si>
    <t>Passive BPF 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</si>
</sst>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402619234910253E-2"/>
          <c:y val="6.0185185185185182E-2"/>
          <c:w val="0.85944538497910028"/>
          <c:h val="0.84968803749230748"/>
        </c:manualLayout>
      </c:layout>
      <c:scatterChart>
        <c:scatterStyle val="lineMarker"/>
        <c:varyColors val="0"/>
        <c:ser>
          <c:idx val="0"/>
          <c:order val="0"/>
          <c:tx>
            <c:strRef>
              <c:f>'Figure 1 - BPF'!$B$1</c:f>
              <c:strCache>
                <c:ptCount val="1"/>
                <c:pt idx="0">
                  <c:v>Gain (dB)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'Figure 1 - BPF'!$A$2:$A$22</c:f>
              <c:numCache>
                <c:formatCode>General</c:formatCode>
                <c:ptCount val="21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50</c:v>
                </c:pt>
                <c:pt idx="9">
                  <c:v>100</c:v>
                </c:pt>
                <c:pt idx="10">
                  <c:v>200</c:v>
                </c:pt>
                <c:pt idx="11">
                  <c:v>500</c:v>
                </c:pt>
                <c:pt idx="12">
                  <c:v>1000</c:v>
                </c:pt>
                <c:pt idx="13">
                  <c:v>2000</c:v>
                </c:pt>
                <c:pt idx="14">
                  <c:v>5000</c:v>
                </c:pt>
                <c:pt idx="15">
                  <c:v>10000</c:v>
                </c:pt>
                <c:pt idx="16">
                  <c:v>20000</c:v>
                </c:pt>
                <c:pt idx="17">
                  <c:v>50000</c:v>
                </c:pt>
                <c:pt idx="18">
                  <c:v>100000</c:v>
                </c:pt>
                <c:pt idx="19">
                  <c:v>200000</c:v>
                </c:pt>
                <c:pt idx="20">
                  <c:v>500000</c:v>
                </c:pt>
              </c:numCache>
            </c:numRef>
          </c:xVal>
          <c:yVal>
            <c:numRef>
              <c:f>'Figure 1 - BPF'!$B$2:$B$22</c:f>
              <c:numCache>
                <c:formatCode>General</c:formatCode>
                <c:ptCount val="21"/>
                <c:pt idx="0">
                  <c:v>-39.956786262607871</c:v>
                </c:pt>
                <c:pt idx="1">
                  <c:v>-33.937488908447158</c:v>
                </c:pt>
                <c:pt idx="2">
                  <c:v>-25.987795726464128</c:v>
                </c:pt>
                <c:pt idx="3">
                  <c:v>-19.999565770660819</c:v>
                </c:pt>
                <c:pt idx="4">
                  <c:v>-14.106085642830918</c:v>
                </c:pt>
                <c:pt idx="5">
                  <c:v>-6.9460531185012071</c:v>
                </c:pt>
                <c:pt idx="6">
                  <c:v>-2.9666562889874077</c:v>
                </c:pt>
                <c:pt idx="7">
                  <c:v>-0.92546949123004496</c:v>
                </c:pt>
                <c:pt idx="8">
                  <c:v>-0.12679395465608051</c:v>
                </c:pt>
                <c:pt idx="9">
                  <c:v>0</c:v>
                </c:pt>
                <c:pt idx="10">
                  <c:v>3.1067367088203807E-2</c:v>
                </c:pt>
                <c:pt idx="11">
                  <c:v>3.1067367088202843E-2</c:v>
                </c:pt>
                <c:pt idx="12">
                  <c:v>-9.7144514654701197E-16</c:v>
                </c:pt>
                <c:pt idx="13">
                  <c:v>-0.12679395465608051</c:v>
                </c:pt>
                <c:pt idx="14">
                  <c:v>-0.92546949123004607</c:v>
                </c:pt>
                <c:pt idx="15">
                  <c:v>-2.9666562889874077</c:v>
                </c:pt>
                <c:pt idx="16">
                  <c:v>-6.9460531185012062</c:v>
                </c:pt>
                <c:pt idx="17">
                  <c:v>-14.106085642830918</c:v>
                </c:pt>
                <c:pt idx="18">
                  <c:v>-19.999565770660819</c:v>
                </c:pt>
                <c:pt idx="19">
                  <c:v>-25.987795726464132</c:v>
                </c:pt>
                <c:pt idx="20">
                  <c:v>-33.937488908447158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47-4F05-A68D-C4C8D53ED7DA}"/>
            </c:ext>
          </c:extLst>
        </c:ser>
        <c:ser>
          <c:idx val="1"/>
          <c:order val="1"/>
          <c:tx>
            <c:v>Series 2 (−3 dB line)</c:v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'Figure 1 - BPF'!$D$2:$D$3</c:f>
              <c:numCache>
                <c:formatCode>General</c:formatCode>
                <c:ptCount val="2"/>
                <c:pt idx="0">
                  <c:v>0.1</c:v>
                </c:pt>
                <c:pt idx="1">
                  <c:v>500000</c:v>
                </c:pt>
              </c:numCache>
            </c:numRef>
          </c:xVal>
          <c:yVal>
            <c:numRef>
              <c:f>'Figure 1 - BPF'!$E$2:$E$3</c:f>
              <c:numCache>
                <c:formatCode>General</c:formatCode>
                <c:ptCount val="2"/>
                <c:pt idx="0">
                  <c:v>-3</c:v>
                </c:pt>
                <c:pt idx="1">
                  <c:v>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47-4F05-A68D-C4C8D53ED7DA}"/>
            </c:ext>
          </c:extLst>
        </c:ser>
        <c:ser>
          <c:idx val="2"/>
          <c:order val="2"/>
          <c:tx>
            <c:v>Series 3 (f_L line)</c:v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'Figure 1 - BPF'!$F$2:$F$3</c:f>
              <c:numCache>
                <c:formatCode>General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xVal>
          <c:yVal>
            <c:numRef>
              <c:f>'Figure 1 - BPF'!$G$2:$G$3</c:f>
              <c:numCache>
                <c:formatCode>General</c:formatCode>
                <c:ptCount val="2"/>
                <c:pt idx="0">
                  <c:v>-40</c:v>
                </c:pt>
                <c:pt idx="1">
                  <c:v>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747-4F05-A68D-C4C8D53ED7DA}"/>
            </c:ext>
          </c:extLst>
        </c:ser>
        <c:ser>
          <c:idx val="3"/>
          <c:order val="3"/>
          <c:tx>
            <c:v>Series 4 (f_H line)</c:v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'Figure 1 - BPF'!$H$2:$H$3</c:f>
              <c:numCache>
                <c:formatCode>General</c:formatCode>
                <c:ptCount val="2"/>
                <c:pt idx="0">
                  <c:v>10000</c:v>
                </c:pt>
                <c:pt idx="1">
                  <c:v>10000</c:v>
                </c:pt>
              </c:numCache>
            </c:numRef>
          </c:xVal>
          <c:yVal>
            <c:numRef>
              <c:f>'Figure 1 - BPF'!$I$2:$I$3</c:f>
              <c:numCache>
                <c:formatCode>General</c:formatCode>
                <c:ptCount val="2"/>
                <c:pt idx="0">
                  <c:v>-40</c:v>
                </c:pt>
                <c:pt idx="1">
                  <c:v>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747-4F05-A68D-C4C8D53ED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357728"/>
        <c:axId val="1247358208"/>
      </c:scatterChart>
      <c:valAx>
        <c:axId val="1247357728"/>
        <c:scaling>
          <c:logBase val="10"/>
          <c:orientation val="minMax"/>
          <c:max val="500000"/>
          <c:min val="0.1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Frequency (Hz)</a:t>
                </a:r>
              </a:p>
            </c:rich>
          </c:tx>
          <c:layout>
            <c:manualLayout>
              <c:xMode val="edge"/>
              <c:yMode val="edge"/>
              <c:x val="0.42275526932657348"/>
              <c:y val="0.921897337983052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247358208"/>
        <c:crosses val="autoZero"/>
        <c:crossBetween val="midCat"/>
      </c:valAx>
      <c:valAx>
        <c:axId val="1247358208"/>
        <c:scaling>
          <c:orientation val="minMax"/>
          <c:min val="-40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Gain (dB)</a:t>
                </a:r>
              </a:p>
            </c:rich>
          </c:tx>
          <c:layout>
            <c:manualLayout>
              <c:xMode val="edge"/>
              <c:yMode val="edge"/>
              <c:x val="1.4453152906407815E-2"/>
              <c:y val="0.471421898915942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247357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'Figure 3 - Passive vs Active'!$B$1</c:f>
              <c:strCache>
                <c:ptCount val="1"/>
                <c:pt idx="0">
                  <c:v>Active BPF (dB)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'Figure 3 - Passive vs Active'!$A$2:$A$22</c:f>
              <c:numCache>
                <c:formatCode>General</c:formatCode>
                <c:ptCount val="21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50</c:v>
                </c:pt>
                <c:pt idx="9">
                  <c:v>100</c:v>
                </c:pt>
                <c:pt idx="10">
                  <c:v>200</c:v>
                </c:pt>
                <c:pt idx="11">
                  <c:v>500</c:v>
                </c:pt>
                <c:pt idx="12">
                  <c:v>1000</c:v>
                </c:pt>
                <c:pt idx="13">
                  <c:v>2000</c:v>
                </c:pt>
                <c:pt idx="14">
                  <c:v>5000</c:v>
                </c:pt>
                <c:pt idx="15">
                  <c:v>10000</c:v>
                </c:pt>
                <c:pt idx="16">
                  <c:v>20000</c:v>
                </c:pt>
                <c:pt idx="17">
                  <c:v>50000</c:v>
                </c:pt>
                <c:pt idx="18">
                  <c:v>100000</c:v>
                </c:pt>
                <c:pt idx="19">
                  <c:v>200000</c:v>
                </c:pt>
                <c:pt idx="20">
                  <c:v>500000</c:v>
                </c:pt>
              </c:numCache>
            </c:numRef>
          </c:xVal>
          <c:yVal>
            <c:numRef>
              <c:f>'Figure 3 - Passive vs Active'!$B$2:$B$22</c:f>
              <c:numCache>
                <c:formatCode>General</c:formatCode>
                <c:ptCount val="21"/>
                <c:pt idx="0">
                  <c:v>-39.956786262607871</c:v>
                </c:pt>
                <c:pt idx="1">
                  <c:v>-33.937488908447158</c:v>
                </c:pt>
                <c:pt idx="2">
                  <c:v>-25.987795726464128</c:v>
                </c:pt>
                <c:pt idx="3">
                  <c:v>-19.999565770660819</c:v>
                </c:pt>
                <c:pt idx="4">
                  <c:v>-14.106085642830918</c:v>
                </c:pt>
                <c:pt idx="5">
                  <c:v>-6.9460531185012071</c:v>
                </c:pt>
                <c:pt idx="6">
                  <c:v>-2.9666562889874077</c:v>
                </c:pt>
                <c:pt idx="7">
                  <c:v>-0.92546949123004496</c:v>
                </c:pt>
                <c:pt idx="8">
                  <c:v>-0.12679395465608051</c:v>
                </c:pt>
                <c:pt idx="9">
                  <c:v>0</c:v>
                </c:pt>
                <c:pt idx="10">
                  <c:v>3.1067367088203807E-2</c:v>
                </c:pt>
                <c:pt idx="11">
                  <c:v>3.1067367088202843E-2</c:v>
                </c:pt>
                <c:pt idx="12">
                  <c:v>-9.7144514654701197E-16</c:v>
                </c:pt>
                <c:pt idx="13">
                  <c:v>-0.12679395465608051</c:v>
                </c:pt>
                <c:pt idx="14">
                  <c:v>-0.92546949123004607</c:v>
                </c:pt>
                <c:pt idx="15">
                  <c:v>-2.9666562889874077</c:v>
                </c:pt>
                <c:pt idx="16">
                  <c:v>-6.9460531185012062</c:v>
                </c:pt>
                <c:pt idx="17">
                  <c:v>-14.106085642830918</c:v>
                </c:pt>
                <c:pt idx="18">
                  <c:v>-19.999565770660819</c:v>
                </c:pt>
                <c:pt idx="19">
                  <c:v>-25.987795726464132</c:v>
                </c:pt>
                <c:pt idx="20">
                  <c:v>-33.937488908447158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F5-49F4-B3B1-F01F0C3E7CCC}"/>
            </c:ext>
          </c:extLst>
        </c:ser>
        <c:ser>
          <c:idx val="1"/>
          <c:order val="1"/>
          <c:tx>
            <c:strRef>
              <c:f>'Figure 3 - Passive vs Active'!$C$1</c:f>
              <c:strCache>
                <c:ptCount val="1"/>
                <c:pt idx="0">
                  <c:v>Passive BPF (dB)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'Figure 3 - Passive vs Active'!$A$2:$A$22</c:f>
              <c:numCache>
                <c:formatCode>General</c:formatCode>
                <c:ptCount val="21"/>
                <c:pt idx="0">
                  <c:v>0.1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50</c:v>
                </c:pt>
                <c:pt idx="9">
                  <c:v>100</c:v>
                </c:pt>
                <c:pt idx="10">
                  <c:v>200</c:v>
                </c:pt>
                <c:pt idx="11">
                  <c:v>500</c:v>
                </c:pt>
                <c:pt idx="12">
                  <c:v>1000</c:v>
                </c:pt>
                <c:pt idx="13">
                  <c:v>2000</c:v>
                </c:pt>
                <c:pt idx="14">
                  <c:v>5000</c:v>
                </c:pt>
                <c:pt idx="15">
                  <c:v>10000</c:v>
                </c:pt>
                <c:pt idx="16">
                  <c:v>20000</c:v>
                </c:pt>
                <c:pt idx="17">
                  <c:v>50000</c:v>
                </c:pt>
                <c:pt idx="18">
                  <c:v>100000</c:v>
                </c:pt>
                <c:pt idx="19">
                  <c:v>200000</c:v>
                </c:pt>
                <c:pt idx="20">
                  <c:v>500000</c:v>
                </c:pt>
              </c:numCache>
            </c:numRef>
          </c:xVal>
          <c:yVal>
            <c:numRef>
              <c:f>'Figure 3 - Passive vs Active'!$C$2:$C$22</c:f>
              <c:numCache>
                <c:formatCode>General</c:formatCode>
                <c:ptCount val="21"/>
                <c:pt idx="0">
                  <c:v>-42.956786262607871</c:v>
                </c:pt>
                <c:pt idx="1">
                  <c:v>-36.937488908447158</c:v>
                </c:pt>
                <c:pt idx="2">
                  <c:v>-28.987795726464128</c:v>
                </c:pt>
                <c:pt idx="3">
                  <c:v>-22.999565770660819</c:v>
                </c:pt>
                <c:pt idx="4">
                  <c:v>-17.106085642830919</c:v>
                </c:pt>
                <c:pt idx="5">
                  <c:v>-9.946053118501208</c:v>
                </c:pt>
                <c:pt idx="6">
                  <c:v>-5.9666562889874077</c:v>
                </c:pt>
                <c:pt idx="7">
                  <c:v>-3.9254694912300447</c:v>
                </c:pt>
                <c:pt idx="8">
                  <c:v>-3.1267939546560806</c:v>
                </c:pt>
                <c:pt idx="9">
                  <c:v>-3</c:v>
                </c:pt>
                <c:pt idx="10">
                  <c:v>-2.968932632911796</c:v>
                </c:pt>
                <c:pt idx="11">
                  <c:v>-2.9689326329117973</c:v>
                </c:pt>
                <c:pt idx="12">
                  <c:v>-3.0000000000000009</c:v>
                </c:pt>
                <c:pt idx="13">
                  <c:v>-3.1267939546560806</c:v>
                </c:pt>
                <c:pt idx="14">
                  <c:v>-3.9254694912300461</c:v>
                </c:pt>
                <c:pt idx="15">
                  <c:v>-5.9666562889874077</c:v>
                </c:pt>
                <c:pt idx="16">
                  <c:v>-9.9460531185012062</c:v>
                </c:pt>
                <c:pt idx="17">
                  <c:v>-17.106085642830919</c:v>
                </c:pt>
                <c:pt idx="18">
                  <c:v>-22.999565770660819</c:v>
                </c:pt>
                <c:pt idx="19">
                  <c:v>-28.987795726464132</c:v>
                </c:pt>
                <c:pt idx="20">
                  <c:v>-36.937488908447158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EF5-49F4-B3B1-F01F0C3E7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241200"/>
        <c:axId val="1399241680"/>
      </c:scatterChart>
      <c:valAx>
        <c:axId val="1399241200"/>
        <c:scaling>
          <c:logBase val="10"/>
          <c:orientation val="minMax"/>
          <c:max val="500000"/>
          <c:min val="0.1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Frequency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399241680"/>
        <c:crosses val="autoZero"/>
        <c:crossBetween val="midCat"/>
      </c:valAx>
      <c:valAx>
        <c:axId val="1399241680"/>
        <c:scaling>
          <c:orientation val="minMax"/>
          <c:min val="-40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Gain 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399241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254000</xdr:colOff>
      <xdr:row>3</xdr:row>
      <xdr:rowOff>146050</xdr:rowOff>
    </xdr:from>
    <xdr:to>
      <xdr:col>10</xdr:col>
      <xdr:colOff>514349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E5840B-95F6-0FB7-683D-1474E1AF2D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0.16458</cdr:x>
      <cdr:y>0.49306</cdr:y>
    </cdr:from>
    <cdr:to>
      <cdr:x>0.36458</cdr:x>
      <cdr:y>0.59028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438DC38-F12D-80CC-CF91-D216FF09F062}"/>
            </a:ext>
          </a:extLst>
        </cdr:cNvPr>
        <cdr:cNvSpPr txBox="1"/>
      </cdr:nvSpPr>
      <cdr:spPr>
        <a:xfrm xmlns:a="http://schemas.openxmlformats.org/drawingml/2006/main">
          <a:off x="752475" y="1352550"/>
          <a:ext cx="914400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GB" sz="1100" kern="1200"/>
        </a:p>
      </cdr:txBody>
    </cdr:sp>
  </cdr:relSizeAnchor>
  <cdr:relSizeAnchor xmlns:cdr="http://schemas.openxmlformats.org/drawingml/2006/chartDrawing">
    <cdr:from>
      <cdr:x>0.11236</cdr:x>
      <cdr:y>0.71543</cdr:y>
    </cdr:from>
    <cdr:to>
      <cdr:x>0.2582</cdr:x>
      <cdr:y>0.85371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EDED664-97AE-8077-24A0-6A8055873E66}"/>
            </a:ext>
          </a:extLst>
        </cdr:cNvPr>
        <cdr:cNvSpPr txBox="1"/>
      </cdr:nvSpPr>
      <cdr:spPr>
        <a:xfrm xmlns:a="http://schemas.openxmlformats.org/drawingml/2006/main">
          <a:off x="577195" y="2266947"/>
          <a:ext cx="749202" cy="4381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GB" sz="1000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Stop </a:t>
          </a:r>
        </a:p>
        <a:p xmlns:a="http://schemas.openxmlformats.org/drawingml/2006/main">
          <a:r>
            <a:rPr lang="en-GB" sz="1000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band</a:t>
          </a:r>
          <a:endParaRPr lang="en-GB" sz="1000" kern="1200">
            <a:solidFill>
              <a:schemeClr val="bg1">
                <a:lumMod val="6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0.4357</cdr:x>
      <cdr:y>0.07962</cdr:y>
    </cdr:from>
    <cdr:to>
      <cdr:x>0.58359</cdr:x>
      <cdr:y>0.15551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FA9FA746-CB39-1E1F-4C11-30AF5C87BF42}"/>
            </a:ext>
          </a:extLst>
        </cdr:cNvPr>
        <cdr:cNvSpPr txBox="1"/>
      </cdr:nvSpPr>
      <cdr:spPr>
        <a:xfrm xmlns:a="http://schemas.openxmlformats.org/drawingml/2006/main">
          <a:off x="2225819" y="234097"/>
          <a:ext cx="755508" cy="2231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GB" sz="1000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Passband</a:t>
          </a:r>
          <a:endParaRPr lang="en-GB" sz="1000" kern="1200">
            <a:solidFill>
              <a:schemeClr val="bg1">
                <a:lumMod val="6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0.82452</cdr:x>
      <cdr:y>0.69494</cdr:y>
    </cdr:from>
    <cdr:to>
      <cdr:x>0.98425</cdr:x>
      <cdr:y>0.81964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CF924641-EB4B-EB4F-80D5-8A30C4EAB3F5}"/>
            </a:ext>
          </a:extLst>
        </cdr:cNvPr>
        <cdr:cNvSpPr txBox="1"/>
      </cdr:nvSpPr>
      <cdr:spPr>
        <a:xfrm xmlns:a="http://schemas.openxmlformats.org/drawingml/2006/main">
          <a:off x="4235699" y="2202008"/>
          <a:ext cx="820557" cy="3951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GB" sz="1000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Stop </a:t>
          </a:r>
        </a:p>
        <a:p xmlns:a="http://schemas.openxmlformats.org/drawingml/2006/main">
          <a:r>
            <a:rPr lang="en-GB" sz="1000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band</a:t>
          </a:r>
          <a:endParaRPr lang="en-GB" sz="1000" kern="1200">
            <a:solidFill>
              <a:schemeClr val="bg1">
                <a:lumMod val="6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0.30794</cdr:x>
      <cdr:y>0.79021</cdr:y>
    </cdr:from>
    <cdr:to>
      <cdr:x>0.37044</cdr:x>
      <cdr:y>0.87817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AFBA0A8F-F7C0-F789-DEDA-F4F5192E276E}"/>
            </a:ext>
          </a:extLst>
        </cdr:cNvPr>
        <cdr:cNvSpPr txBox="1"/>
      </cdr:nvSpPr>
      <cdr:spPr>
        <a:xfrm xmlns:a="http://schemas.openxmlformats.org/drawingml/2006/main">
          <a:off x="1573118" y="2503886"/>
          <a:ext cx="319286" cy="2787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GB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fL</a:t>
          </a:r>
          <a:endParaRPr lang="en-GB" sz="1100" kern="1200">
            <a:solidFill>
              <a:schemeClr val="bg1">
                <a:lumMod val="6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0.69463</cdr:x>
      <cdr:y>0.801</cdr:y>
    </cdr:from>
    <cdr:to>
      <cdr:x>0.75713</cdr:x>
      <cdr:y>0.88896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3FDA3B3B-8D0D-607F-F6F6-34A75F9B447F}"/>
            </a:ext>
          </a:extLst>
        </cdr:cNvPr>
        <cdr:cNvSpPr txBox="1"/>
      </cdr:nvSpPr>
      <cdr:spPr>
        <a:xfrm xmlns:a="http://schemas.openxmlformats.org/drawingml/2006/main">
          <a:off x="3548576" y="2538094"/>
          <a:ext cx="319286" cy="2787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GB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fH</a:t>
          </a:r>
          <a:endParaRPr lang="en-GB" sz="1100" kern="1200">
            <a:solidFill>
              <a:schemeClr val="bg1">
                <a:lumMod val="6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0.89683</cdr:x>
      <cdr:y>0.14039</cdr:y>
    </cdr:from>
    <cdr:to>
      <cdr:x>0.92915</cdr:x>
      <cdr:y>0.2946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02563A0E-CAF0-42F8-D508-A9E09B356EB5}"/>
            </a:ext>
          </a:extLst>
        </cdr:cNvPr>
        <cdr:cNvSpPr txBox="1"/>
      </cdr:nvSpPr>
      <cdr:spPr>
        <a:xfrm xmlns:a="http://schemas.openxmlformats.org/drawingml/2006/main">
          <a:off x="4581526" y="412750"/>
          <a:ext cx="165100" cy="4533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GB">
              <a:solidFill>
                <a:schemeClr val="bg1">
                  <a:lumMod val="65000"/>
                </a:schemeClr>
              </a:solidFill>
            </a:rPr>
            <a:t>-3 dB</a:t>
          </a:r>
          <a:endParaRPr lang="en-GB" sz="1100" kern="1200">
            <a:solidFill>
              <a:schemeClr val="bg1">
                <a:lumMod val="6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0.50093</cdr:x>
      <cdr:y>0.14687</cdr:y>
    </cdr:from>
    <cdr:to>
      <cdr:x>0.52393</cdr:x>
      <cdr:y>0.23293</cdr:y>
    </cdr:to>
    <cdr:pic>
      <cdr:nvPicPr>
        <cdr:cNvPr id="10" name="chart">
          <a:extLst xmlns:a="http://schemas.openxmlformats.org/drawingml/2006/main">
            <a:ext uri="{FF2B5EF4-FFF2-40B4-BE49-F238E27FC236}">
              <a16:creationId xmlns:a16="http://schemas.microsoft.com/office/drawing/2014/main" id="{22A2CB63-DEB6-2153-EBF1-EF6399471E95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559050" y="431800"/>
          <a:ext cx="117476" cy="253025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0.04095</cdr:x>
      <cdr:y>0.19886</cdr:y>
    </cdr:from>
    <cdr:to>
      <cdr:x>0.08521</cdr:x>
      <cdr:y>0.9224</cdr:y>
    </cdr:to>
    <cdr:pic>
      <cdr:nvPicPr>
        <cdr:cNvPr id="12" name="chart">
          <a:extLst xmlns:a="http://schemas.openxmlformats.org/drawingml/2006/main">
            <a:ext uri="{FF2B5EF4-FFF2-40B4-BE49-F238E27FC236}">
              <a16:creationId xmlns:a16="http://schemas.microsoft.com/office/drawing/2014/main" id="{B14659DD-F8FA-3EA1-599A-1C8ABFF0321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210366" y="630119"/>
          <a:ext cx="227349" cy="2292651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0.05713</cdr:x>
      <cdr:y>0.86172</cdr:y>
    </cdr:from>
    <cdr:to>
      <cdr:x>0.96266</cdr:x>
      <cdr:y>0.95509</cdr:y>
    </cdr:to>
    <cdr:pic>
      <cdr:nvPicPr>
        <cdr:cNvPr id="14" name="chart">
          <a:extLst xmlns:a="http://schemas.openxmlformats.org/drawingml/2006/main">
            <a:ext uri="{FF2B5EF4-FFF2-40B4-BE49-F238E27FC236}">
              <a16:creationId xmlns:a16="http://schemas.microsoft.com/office/drawing/2014/main" id="{2E13A1DB-42EB-3DD4-8AE0-3507B30C0A32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cdr:blipFill>
      <cdr:spPr>
        <a:xfrm xmlns:a="http://schemas.openxmlformats.org/drawingml/2006/main">
          <a:off x="293485" y="2730489"/>
          <a:ext cx="4651843" cy="295857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0.31891</cdr:x>
      <cdr:y>0.37074</cdr:y>
    </cdr:from>
    <cdr:to>
      <cdr:x>0.70952</cdr:x>
      <cdr:y>0.39679</cdr:y>
    </cdr:to>
    <cdr:sp macro="" textlink="">
      <cdr:nvSpPr>
        <cdr:cNvPr id="9" name="Arrow: Left-Right 8">
          <a:extLst xmlns:a="http://schemas.openxmlformats.org/drawingml/2006/main">
            <a:ext uri="{FF2B5EF4-FFF2-40B4-BE49-F238E27FC236}">
              <a16:creationId xmlns:a16="http://schemas.microsoft.com/office/drawing/2014/main" id="{4ACBF954-639C-7964-504C-C98126FBCF6F}"/>
            </a:ext>
          </a:extLst>
        </cdr:cNvPr>
        <cdr:cNvSpPr/>
      </cdr:nvSpPr>
      <cdr:spPr>
        <a:xfrm xmlns:a="http://schemas.openxmlformats.org/drawingml/2006/main">
          <a:off x="1638300" y="1174750"/>
          <a:ext cx="2006600" cy="82550"/>
        </a:xfrm>
        <a:prstGeom xmlns:a="http://schemas.openxmlformats.org/drawingml/2006/main" prst="leftRightArrow">
          <a:avLst/>
        </a:prstGeom>
        <a:solidFill xmlns:a="http://schemas.openxmlformats.org/drawingml/2006/main">
          <a:schemeClr val="tx1">
            <a:lumMod val="65000"/>
            <a:lumOff val="35000"/>
          </a:schemeClr>
        </a:solidFill>
        <a:ln xmlns:a="http://schemas.openxmlformats.org/drawingml/2006/main">
          <a:noFill/>
        </a:ln>
        <a:effectLst xmlns:a="http://schemas.openxmlformats.org/drawingml/2006/main">
          <a:outerShdw blurRad="50800" dist="38100" dir="2700000" algn="tl" rotWithShape="0">
            <a:prstClr val="black">
              <a:alpha val="40000"/>
            </a:prstClr>
          </a:outerShdw>
        </a:effectLst>
      </cdr:spPr>
      <cdr:style>
        <a:lnRef xmlns:a="http://schemas.openxmlformats.org/drawingml/2006/main" idx="2">
          <a:schemeClr val="dk1">
            <a:shade val="15000"/>
          </a:schemeClr>
        </a:lnRef>
        <a:fillRef xmlns:a="http://schemas.openxmlformats.org/drawingml/2006/main" idx="1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defPPr>
            <a:defRPr lang="en-US"/>
          </a:defPPr>
          <a:lvl1pPr marL="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GB"/>
        </a:p>
      </cdr:txBody>
    </cdr:sp>
  </cdr:relSizeAnchor>
  <cdr:relSizeAnchor xmlns:cdr="http://schemas.openxmlformats.org/drawingml/2006/chartDrawing">
    <cdr:from>
      <cdr:x>0.40297</cdr:x>
      <cdr:y>0.39279</cdr:y>
    </cdr:from>
    <cdr:to>
      <cdr:x>0.61519</cdr:x>
      <cdr:y>0.47628</cdr:y>
    </cdr:to>
    <cdr:sp macro="" textlink="">
      <cdr:nvSpPr>
        <cdr:cNvPr id="11" name="TextBox 10">
          <a:extLst xmlns:a="http://schemas.openxmlformats.org/drawingml/2006/main">
            <a:ext uri="{FF2B5EF4-FFF2-40B4-BE49-F238E27FC236}">
              <a16:creationId xmlns:a16="http://schemas.microsoft.com/office/drawing/2014/main" id="{6906A686-E211-DBE7-E82A-D91E8ACE7B00}"/>
            </a:ext>
          </a:extLst>
        </cdr:cNvPr>
        <cdr:cNvSpPr txBox="1"/>
      </cdr:nvSpPr>
      <cdr:spPr>
        <a:xfrm xmlns:a="http://schemas.openxmlformats.org/drawingml/2006/main">
          <a:off x="2070100" y="1244600"/>
          <a:ext cx="1090235" cy="2645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>
              <a:solidFill>
                <a:schemeClr val="bg1">
                  <a:lumMod val="65000"/>
                </a:schemeClr>
              </a:solidFill>
            </a:rPr>
            <a:t>Bandwidth</a:t>
          </a:r>
          <a:r>
            <a:rPr lang="en-GB" sz="1100" baseline="0">
              <a:solidFill>
                <a:schemeClr val="bg1">
                  <a:lumMod val="65000"/>
                </a:schemeClr>
              </a:solidFill>
            </a:rPr>
            <a:t> (BW)</a:t>
          </a:r>
          <a:endParaRPr lang="en-GB" sz="1100">
            <a:solidFill>
              <a:schemeClr val="bg1">
                <a:lumMod val="65000"/>
              </a:schemeClr>
            </a:solidFill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238124</xdr:colOff>
      <xdr:row>0</xdr:row>
      <xdr:rowOff>69850</xdr:rowOff>
    </xdr:from>
    <xdr:to>
      <xdr:col>11</xdr:col>
      <xdr:colOff>488949</xdr:colOff>
      <xdr:row>16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145BF6-EC0B-54A6-51F1-43D86A8A11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0.13003</cdr:x>
      <cdr:y>0.66105</cdr:y>
    </cdr:from>
    <cdr:to>
      <cdr:x>0.27033</cdr:x>
      <cdr:y>0.74594</cdr:y>
    </cdr:to>
    <cdr:pic>
      <cdr:nvPicPr>
        <cdr:cNvPr id="3" name="chart">
          <a:extLst xmlns:a="http://schemas.openxmlformats.org/drawingml/2006/main">
            <a:ext uri="{FF2B5EF4-FFF2-40B4-BE49-F238E27FC236}">
              <a16:creationId xmlns:a16="http://schemas.microsoft.com/office/drawing/2014/main" id="{29A01721-7F45-4A89-6E7E-52CB2504A6B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666750" y="1993900"/>
          <a:ext cx="719390" cy="25605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0.81362</cdr:x>
      <cdr:y>0.68842</cdr:y>
    </cdr:from>
    <cdr:to>
      <cdr:x>0.95392</cdr:x>
      <cdr:y>0.77331</cdr:y>
    </cdr:to>
    <cdr:pic>
      <cdr:nvPicPr>
        <cdr:cNvPr id="4" name="chart">
          <a:extLst xmlns:a="http://schemas.openxmlformats.org/drawingml/2006/main">
            <a:ext uri="{FF2B5EF4-FFF2-40B4-BE49-F238E27FC236}">
              <a16:creationId xmlns:a16="http://schemas.microsoft.com/office/drawing/2014/main" id="{34226FEA-D55F-C779-BF8C-94B81B1AA87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171950" y="2076450"/>
          <a:ext cx="719390" cy="25605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0.45697</cdr:x>
      <cdr:y>0.04842</cdr:y>
    </cdr:from>
    <cdr:to>
      <cdr:x>0.60431</cdr:x>
      <cdr:y>0.12239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AE1DE143-0C5F-C1A1-D122-3E0136EB02A2}"/>
            </a:ext>
          </a:extLst>
        </cdr:cNvPr>
        <cdr:cNvSpPr txBox="1"/>
      </cdr:nvSpPr>
      <cdr:spPr>
        <a:xfrm xmlns:a="http://schemas.openxmlformats.org/drawingml/2006/main">
          <a:off x="2343150" y="146050"/>
          <a:ext cx="755508" cy="2231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000">
              <a:latin typeface="Arial" panose="020B0604020202020204" pitchFamily="34" charset="0"/>
              <a:cs typeface="Arial" panose="020B0604020202020204" pitchFamily="34" charset="0"/>
            </a:rPr>
            <a:t>Passband</a:t>
          </a:r>
          <a:endParaRPr lang="en-GB" sz="1000" kern="12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47390-6680-4FB2-A466-8992A27CCF66}">
  <dimension ref="A1:I22"/>
  <sheetViews>
    <sheetView tabSelected="1" workbookViewId="0">
      <selection activeCell="M19" sqref="M19"/>
    </sheetView>
  </sheetViews>
  <sheetFormatPr defaultRowHeight="14.5" x14ac:dyDescent="0.35"/>
  <cols>
    <col min="1" max="1" width="13.08984375" bestFit="1" customWidth="1"/>
    <col min="2" max="2" width="8.26953125" bestFit="1" customWidth="1"/>
  </cols>
  <sheetData>
    <row r="1" spans="1:9" x14ac:dyDescent="0.35">
      <c r="A1" s="1" t="s">
        <v>0</v>
      </c>
      <c r="B1" s="1" t="s">
        <v>1</v>
      </c>
      <c r="C1" s="2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5">
      <c r="A2">
        <v>0.1</v>
      </c>
      <c r="B2">
        <f>20*LOG10( (A2/10) / SQRT( (1+(A2/10)^2) * (1+(A2/10000)^2) ) ) - 20*LOG10( (100/10) / SQRT( (1+(100/10)^2) * (1+(100/10000)^2) ) )</f>
        <v>-39.956786262607871</v>
      </c>
      <c r="D2">
        <v>0.1</v>
      </c>
      <c r="E2">
        <v>-3</v>
      </c>
      <c r="F2">
        <v>10</v>
      </c>
      <c r="G2">
        <v>-40</v>
      </c>
      <c r="H2">
        <v>10000</v>
      </c>
      <c r="I2">
        <v>-40</v>
      </c>
    </row>
    <row r="3" spans="1:9" x14ac:dyDescent="0.35">
      <c r="A3">
        <v>0.2</v>
      </c>
      <c r="B3">
        <f t="shared" ref="B3:B22" si="0">20*LOG10( (A3/10) / SQRT( (1+(A3/10)^2) * (1+(A3/10000)^2) ) ) - 20*LOG10( (100/10) / SQRT( (1+(100/10)^2) * (1+(100/10000)^2) ) )</f>
        <v>-33.937488908447158</v>
      </c>
      <c r="D3">
        <v>500000</v>
      </c>
      <c r="E3">
        <v>-3</v>
      </c>
      <c r="F3">
        <v>10</v>
      </c>
      <c r="G3">
        <v>-3</v>
      </c>
      <c r="H3">
        <v>10000</v>
      </c>
      <c r="I3">
        <v>-3</v>
      </c>
    </row>
    <row r="4" spans="1:9" x14ac:dyDescent="0.35">
      <c r="A4">
        <v>0.5</v>
      </c>
      <c r="B4">
        <f t="shared" si="0"/>
        <v>-25.987795726464128</v>
      </c>
    </row>
    <row r="5" spans="1:9" x14ac:dyDescent="0.35">
      <c r="A5">
        <v>1</v>
      </c>
      <c r="B5">
        <f t="shared" si="0"/>
        <v>-19.999565770660819</v>
      </c>
    </row>
    <row r="6" spans="1:9" x14ac:dyDescent="0.35">
      <c r="A6">
        <v>2</v>
      </c>
      <c r="B6">
        <f t="shared" si="0"/>
        <v>-14.106085642830918</v>
      </c>
    </row>
    <row r="7" spans="1:9" x14ac:dyDescent="0.35">
      <c r="A7">
        <v>5</v>
      </c>
      <c r="B7">
        <f t="shared" si="0"/>
        <v>-6.9460531185012071</v>
      </c>
    </row>
    <row r="8" spans="1:9" x14ac:dyDescent="0.35">
      <c r="A8">
        <v>10</v>
      </c>
      <c r="B8">
        <f t="shared" si="0"/>
        <v>-2.9666562889874077</v>
      </c>
    </row>
    <row r="9" spans="1:9" x14ac:dyDescent="0.35">
      <c r="A9">
        <v>20</v>
      </c>
      <c r="B9">
        <f t="shared" si="0"/>
        <v>-0.92546949123004496</v>
      </c>
    </row>
    <row r="10" spans="1:9" x14ac:dyDescent="0.35">
      <c r="A10">
        <v>50</v>
      </c>
      <c r="B10">
        <f t="shared" si="0"/>
        <v>-0.12679395465608051</v>
      </c>
    </row>
    <row r="11" spans="1:9" x14ac:dyDescent="0.35">
      <c r="A11">
        <v>100</v>
      </c>
      <c r="B11">
        <f t="shared" si="0"/>
        <v>0</v>
      </c>
    </row>
    <row r="12" spans="1:9" x14ac:dyDescent="0.35">
      <c r="A12">
        <v>200</v>
      </c>
      <c r="B12">
        <f t="shared" si="0"/>
        <v>3.1067367088203807E-2</v>
      </c>
    </row>
    <row r="13" spans="1:9" x14ac:dyDescent="0.35">
      <c r="A13">
        <v>500</v>
      </c>
      <c r="B13">
        <f t="shared" si="0"/>
        <v>3.1067367088202843E-2</v>
      </c>
    </row>
    <row r="14" spans="1:9" x14ac:dyDescent="0.35">
      <c r="A14">
        <v>1000</v>
      </c>
      <c r="B14">
        <f t="shared" si="0"/>
        <v>-9.7144514654701197E-16</v>
      </c>
    </row>
    <row r="15" spans="1:9" x14ac:dyDescent="0.35">
      <c r="A15">
        <v>2000</v>
      </c>
      <c r="B15">
        <f t="shared" si="0"/>
        <v>-0.12679395465608051</v>
      </c>
    </row>
    <row r="16" spans="1:9" x14ac:dyDescent="0.35">
      <c r="A16">
        <v>5000</v>
      </c>
      <c r="B16">
        <f t="shared" si="0"/>
        <v>-0.92546949123004607</v>
      </c>
    </row>
    <row r="17" spans="1:2" x14ac:dyDescent="0.35">
      <c r="A17">
        <v>10000</v>
      </c>
      <c r="B17">
        <f t="shared" si="0"/>
        <v>-2.9666562889874077</v>
      </c>
    </row>
    <row r="18" spans="1:2" x14ac:dyDescent="0.35">
      <c r="A18">
        <v>20000</v>
      </c>
      <c r="B18">
        <f t="shared" si="0"/>
        <v>-6.9460531185012062</v>
      </c>
    </row>
    <row r="19" spans="1:2" x14ac:dyDescent="0.35">
      <c r="A19">
        <v>50000</v>
      </c>
      <c r="B19">
        <f t="shared" si="0"/>
        <v>-14.106085642830918</v>
      </c>
    </row>
    <row r="20" spans="1:2" x14ac:dyDescent="0.35">
      <c r="A20">
        <v>100000</v>
      </c>
      <c r="B20">
        <f t="shared" si="0"/>
        <v>-19.999565770660819</v>
      </c>
    </row>
    <row r="21" spans="1:2" x14ac:dyDescent="0.35">
      <c r="A21">
        <v>200000</v>
      </c>
      <c r="B21">
        <f t="shared" si="0"/>
        <v>-25.987795726464132</v>
      </c>
    </row>
    <row r="22" spans="1:2" x14ac:dyDescent="0.35">
      <c r="A22">
        <v>500000</v>
      </c>
      <c r="B22">
        <f t="shared" si="0"/>
        <v>-33.937488908447158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82619-C408-4CE2-8CE6-53BDD7F68884}">
  <dimension ref="A1:C22"/>
  <sheetViews>
    <sheetView workbookViewId="0">
      <selection activeCell="F19" sqref="F19"/>
    </sheetView>
  </sheetViews>
  <sheetFormatPr defaultRowHeight="14.5" x14ac:dyDescent="0.35"/>
  <cols>
    <col min="1" max="1" width="13.08984375" bestFit="1" customWidth="1"/>
    <col min="2" max="2" width="13.1796875" bestFit="1" customWidth="1"/>
    <col min="3" max="3" width="14.36328125" bestFit="1" customWidth="1"/>
  </cols>
  <sheetData>
    <row r="1" spans="1:3" x14ac:dyDescent="0.35">
      <c r="A1" s="1" t="s">
        <v>0</v>
      </c>
      <c r="B1" s="1" t="s">
        <v>8</v>
      </c>
      <c r="C1" s="1" t="s">
        <v>9</v>
      </c>
    </row>
    <row r="2" spans="1:3" x14ac:dyDescent="0.35">
      <c r="A2">
        <v>0.1</v>
      </c>
      <c r="B2">
        <f>20*LOG10((A2/10)/SQRT((1+(A2/10)^2)*(1+(A2/10000)^2)))-20*LOG10((100/10)/SQRT((1+(100/10)^2)*(1+(100/10000)^2)))</f>
        <v>-39.956786262607871</v>
      </c>
      <c r="C2">
        <f>B2-3</f>
        <v>-42.956786262607871</v>
      </c>
    </row>
    <row r="3" spans="1:3" x14ac:dyDescent="0.35">
      <c r="A3">
        <v>0.2</v>
      </c>
      <c r="B3">
        <f t="shared" ref="B3:B22" si="0">20*LOG10((A3/10)/SQRT((1+(A3/10)^2)*(1+(A3/10000)^2)))-20*LOG10((100/10)/SQRT((1+(100/10)^2)*(1+(100/10000)^2)))</f>
        <v>-33.937488908447158</v>
      </c>
      <c r="C3">
        <f t="shared" ref="C3:C22" si="1">B3-3</f>
        <v>-36.937488908447158</v>
      </c>
    </row>
    <row r="4" spans="1:3" x14ac:dyDescent="0.35">
      <c r="A4">
        <v>0.5</v>
      </c>
      <c r="B4">
        <f t="shared" si="0"/>
        <v>-25.987795726464128</v>
      </c>
      <c r="C4">
        <f t="shared" si="1"/>
        <v>-28.987795726464128</v>
      </c>
    </row>
    <row r="5" spans="1:3" x14ac:dyDescent="0.35">
      <c r="A5">
        <v>1</v>
      </c>
      <c r="B5">
        <f t="shared" si="0"/>
        <v>-19.999565770660819</v>
      </c>
      <c r="C5">
        <f t="shared" si="1"/>
        <v>-22.999565770660819</v>
      </c>
    </row>
    <row r="6" spans="1:3" x14ac:dyDescent="0.35">
      <c r="A6">
        <v>2</v>
      </c>
      <c r="B6">
        <f t="shared" si="0"/>
        <v>-14.106085642830918</v>
      </c>
      <c r="C6">
        <f t="shared" si="1"/>
        <v>-17.106085642830919</v>
      </c>
    </row>
    <row r="7" spans="1:3" x14ac:dyDescent="0.35">
      <c r="A7">
        <v>5</v>
      </c>
      <c r="B7">
        <f t="shared" si="0"/>
        <v>-6.9460531185012071</v>
      </c>
      <c r="C7">
        <f t="shared" si="1"/>
        <v>-9.946053118501208</v>
      </c>
    </row>
    <row r="8" spans="1:3" x14ac:dyDescent="0.35">
      <c r="A8">
        <v>10</v>
      </c>
      <c r="B8">
        <f t="shared" si="0"/>
        <v>-2.9666562889874077</v>
      </c>
      <c r="C8">
        <f t="shared" si="1"/>
        <v>-5.9666562889874077</v>
      </c>
    </row>
    <row r="9" spans="1:3" x14ac:dyDescent="0.35">
      <c r="A9">
        <v>20</v>
      </c>
      <c r="B9">
        <f t="shared" si="0"/>
        <v>-0.92546949123004496</v>
      </c>
      <c r="C9">
        <f t="shared" si="1"/>
        <v>-3.9254694912300447</v>
      </c>
    </row>
    <row r="10" spans="1:3" x14ac:dyDescent="0.35">
      <c r="A10">
        <v>50</v>
      </c>
      <c r="B10">
        <f t="shared" si="0"/>
        <v>-0.12679395465608051</v>
      </c>
      <c r="C10">
        <f t="shared" si="1"/>
        <v>-3.1267939546560806</v>
      </c>
    </row>
    <row r="11" spans="1:3" x14ac:dyDescent="0.35">
      <c r="A11">
        <v>100</v>
      </c>
      <c r="B11">
        <f t="shared" si="0"/>
        <v>0</v>
      </c>
      <c r="C11">
        <f t="shared" si="1"/>
        <v>-3</v>
      </c>
    </row>
    <row r="12" spans="1:3" x14ac:dyDescent="0.35">
      <c r="A12">
        <v>200</v>
      </c>
      <c r="B12">
        <f t="shared" si="0"/>
        <v>3.1067367088203807E-2</v>
      </c>
      <c r="C12">
        <f t="shared" si="1"/>
        <v>-2.968932632911796</v>
      </c>
    </row>
    <row r="13" spans="1:3" x14ac:dyDescent="0.35">
      <c r="A13">
        <v>500</v>
      </c>
      <c r="B13">
        <f t="shared" si="0"/>
        <v>3.1067367088202843E-2</v>
      </c>
      <c r="C13">
        <f t="shared" si="1"/>
        <v>-2.9689326329117973</v>
      </c>
    </row>
    <row r="14" spans="1:3" x14ac:dyDescent="0.35">
      <c r="A14">
        <v>1000</v>
      </c>
      <c r="B14">
        <f t="shared" si="0"/>
        <v>-9.7144514654701197E-16</v>
      </c>
      <c r="C14">
        <f t="shared" si="1"/>
        <v>-3.0000000000000009</v>
      </c>
    </row>
    <row r="15" spans="1:3" x14ac:dyDescent="0.35">
      <c r="A15">
        <v>2000</v>
      </c>
      <c r="B15">
        <f t="shared" si="0"/>
        <v>-0.12679395465608051</v>
      </c>
      <c r="C15">
        <f t="shared" si="1"/>
        <v>-3.1267939546560806</v>
      </c>
    </row>
    <row r="16" spans="1:3" x14ac:dyDescent="0.35">
      <c r="A16">
        <v>5000</v>
      </c>
      <c r="B16">
        <f t="shared" si="0"/>
        <v>-0.92546949123004607</v>
      </c>
      <c r="C16">
        <f t="shared" si="1"/>
        <v>-3.9254694912300461</v>
      </c>
    </row>
    <row r="17" spans="1:3" x14ac:dyDescent="0.35">
      <c r="A17">
        <v>10000</v>
      </c>
      <c r="B17">
        <f t="shared" si="0"/>
        <v>-2.9666562889874077</v>
      </c>
      <c r="C17">
        <f t="shared" si="1"/>
        <v>-5.9666562889874077</v>
      </c>
    </row>
    <row r="18" spans="1:3" x14ac:dyDescent="0.35">
      <c r="A18">
        <v>20000</v>
      </c>
      <c r="B18">
        <f t="shared" si="0"/>
        <v>-6.9460531185012062</v>
      </c>
      <c r="C18">
        <f t="shared" si="1"/>
        <v>-9.9460531185012062</v>
      </c>
    </row>
    <row r="19" spans="1:3" x14ac:dyDescent="0.35">
      <c r="A19">
        <v>50000</v>
      </c>
      <c r="B19">
        <f t="shared" si="0"/>
        <v>-14.106085642830918</v>
      </c>
      <c r="C19">
        <f t="shared" si="1"/>
        <v>-17.106085642830919</v>
      </c>
    </row>
    <row r="20" spans="1:3" x14ac:dyDescent="0.35">
      <c r="A20">
        <v>100000</v>
      </c>
      <c r="B20">
        <f t="shared" si="0"/>
        <v>-19.999565770660819</v>
      </c>
      <c r="C20">
        <f t="shared" si="1"/>
        <v>-22.999565770660819</v>
      </c>
    </row>
    <row r="21" spans="1:3" x14ac:dyDescent="0.35">
      <c r="A21">
        <v>200000</v>
      </c>
      <c r="B21">
        <f t="shared" si="0"/>
        <v>-25.987795726464132</v>
      </c>
      <c r="C21">
        <f t="shared" si="1"/>
        <v>-28.987795726464132</v>
      </c>
    </row>
    <row r="22" spans="1:3" x14ac:dyDescent="0.35">
      <c r="A22">
        <v>500000</v>
      </c>
      <c r="B22">
        <f t="shared" si="0"/>
        <v>-33.937488908447158</v>
      </c>
      <c r="C22">
        <f t="shared" si="1"/>
        <v>-36.937488908447158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Figure 1 - BPF</vt:lpstr>
      <vt:lpstr>Figure 3 - Passive vs 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Adjei (Student)</dc:creator>
  <cp:lastModifiedBy>Isaac Adjei (Student)</cp:lastModifiedBy>
  <dcterms:created xsi:type="dcterms:W3CDTF">2026-02-22T04:32:42Z</dcterms:created>
  <dcterms:modified xsi:type="dcterms:W3CDTF">2026-02-22T23:24:22Z</dcterms:modified>
</cp:coreProperties>
</file>