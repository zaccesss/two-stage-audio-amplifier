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liveastonac-my.sharepoint.com/personal/240191278_aston_ac_uk/Documents/240191278_EECS_Beng/240191278_EECS (First Year)/EI1EL2 (Electronics 2)/Labs/Week 2 - Lab/"/>
    </mc:Choice>
  </mc:AlternateContent>
  <xr:revisionPtr revIDLastSave="36" documentId="13_ncr:1_{EE98BF80-37CE-4034-8742-825688A907B8}" xr6:coauthVersionLast="47" xr6:coauthVersionMax="47" xr10:uidLastSave="{0A6D2CE2-86FD-4950-A1E7-372821FB0AFD}"/>
  <bookViews>
    <workbookView xWindow="-110" yWindow="-110" windowWidth="19420" windowHeight="11500" firstSheet="1" activeTab="3" xr2:uid="{00000000-000D-0000-FFFF-FFFF00000000}"/>
  </bookViews>
  <sheets>
    <sheet name="How_to_Use" sheetId="1" r:id="rId1"/>
    <sheet name="Inverting Amplifer (Gain of 10)" sheetId="2" r:id="rId2"/>
    <sheet name="Inverting Amplifer(Gain of 100)" sheetId="3" r:id="rId3"/>
    <sheet name="Combined_Chart" sheetId="4" r:id="rId4"/>
    <sheet name="NonInv_Rin3k" sheetId="5" r:id="rId5"/>
    <sheet name="NonInv_Rin10k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4" l="1"/>
  <c r="E48" i="4" s="1"/>
  <c r="F48" i="4" s="1"/>
  <c r="E47" i="4"/>
  <c r="F47" i="4" s="1"/>
  <c r="D47" i="4"/>
  <c r="D46" i="4"/>
  <c r="E46" i="4" s="1"/>
  <c r="F46" i="4" s="1"/>
  <c r="D45" i="4"/>
  <c r="E45" i="4" s="1"/>
  <c r="F45" i="4" s="1"/>
  <c r="D44" i="4"/>
  <c r="E44" i="4" s="1"/>
  <c r="F44" i="4" s="1"/>
  <c r="D43" i="4"/>
  <c r="E43" i="4" s="1"/>
  <c r="F43" i="4" s="1"/>
  <c r="D42" i="4"/>
  <c r="E42" i="4" s="1"/>
  <c r="F42" i="4" s="1"/>
  <c r="D41" i="4"/>
  <c r="E41" i="4" s="1"/>
  <c r="F41" i="4" s="1"/>
  <c r="D40" i="4"/>
  <c r="E40" i="4" s="1"/>
  <c r="F40" i="4" s="1"/>
  <c r="D39" i="4"/>
  <c r="E39" i="4" s="1"/>
  <c r="F39" i="4" s="1"/>
  <c r="E38" i="4"/>
  <c r="F38" i="4" s="1"/>
  <c r="D38" i="4"/>
  <c r="D37" i="4"/>
  <c r="E37" i="4" s="1"/>
  <c r="F37" i="4" s="1"/>
  <c r="E36" i="4"/>
  <c r="F36" i="4" s="1"/>
  <c r="D36" i="4"/>
  <c r="D35" i="4"/>
  <c r="E35" i="4" s="1"/>
  <c r="F35" i="4" s="1"/>
  <c r="D34" i="4"/>
  <c r="E34" i="4" s="1"/>
  <c r="F34" i="4" s="1"/>
  <c r="D33" i="4"/>
  <c r="E33" i="4" s="1"/>
  <c r="F33" i="4" s="1"/>
  <c r="D32" i="4"/>
  <c r="E32" i="4" s="1"/>
  <c r="F32" i="4" s="1"/>
  <c r="D31" i="4"/>
  <c r="E31" i="4" s="1"/>
  <c r="F31" i="4" s="1"/>
  <c r="D30" i="4"/>
  <c r="E30" i="4" s="1"/>
  <c r="F30" i="4" s="1"/>
  <c r="D29" i="4"/>
  <c r="E29" i="4" s="1"/>
  <c r="F29" i="4" s="1"/>
  <c r="D28" i="4"/>
  <c r="E28" i="4" s="1"/>
  <c r="F28" i="4" s="1"/>
  <c r="D24" i="4"/>
  <c r="E24" i="4" s="1"/>
  <c r="F24" i="4" s="1"/>
  <c r="D23" i="4"/>
  <c r="E23" i="4" s="1"/>
  <c r="F23" i="4" s="1"/>
  <c r="D22" i="4"/>
  <c r="E22" i="4" s="1"/>
  <c r="F22" i="4" s="1"/>
  <c r="D21" i="4"/>
  <c r="E21" i="4" s="1"/>
  <c r="F21" i="4" s="1"/>
  <c r="D20" i="4"/>
  <c r="E20" i="4" s="1"/>
  <c r="F20" i="4" s="1"/>
  <c r="D19" i="4"/>
  <c r="E19" i="4" s="1"/>
  <c r="F19" i="4" s="1"/>
  <c r="D18" i="4"/>
  <c r="E18" i="4" s="1"/>
  <c r="F18" i="4" s="1"/>
  <c r="D17" i="4"/>
  <c r="E17" i="4" s="1"/>
  <c r="F17" i="4" s="1"/>
  <c r="D16" i="4"/>
  <c r="E16" i="4" s="1"/>
  <c r="F16" i="4" s="1"/>
  <c r="D15" i="4"/>
  <c r="E15" i="4" s="1"/>
  <c r="F15" i="4" s="1"/>
  <c r="D14" i="4"/>
  <c r="E14" i="4" s="1"/>
  <c r="F14" i="4" s="1"/>
  <c r="D13" i="4"/>
  <c r="E13" i="4" s="1"/>
  <c r="F13" i="4" s="1"/>
  <c r="D12" i="4"/>
  <c r="E12" i="4" s="1"/>
  <c r="F12" i="4" s="1"/>
  <c r="D11" i="4"/>
  <c r="E11" i="4" s="1"/>
  <c r="F11" i="4" s="1"/>
  <c r="D10" i="4"/>
  <c r="E10" i="4" s="1"/>
  <c r="F10" i="4" s="1"/>
  <c r="D9" i="4"/>
  <c r="E9" i="4" s="1"/>
  <c r="F9" i="4" s="1"/>
  <c r="D8" i="4"/>
  <c r="E8" i="4" s="1"/>
  <c r="F8" i="4" s="1"/>
  <c r="D7" i="4"/>
  <c r="E7" i="4" s="1"/>
  <c r="F7" i="4" s="1"/>
  <c r="E6" i="4"/>
  <c r="F6" i="4" s="1"/>
  <c r="D6" i="4"/>
  <c r="E5" i="4"/>
  <c r="F5" i="4" s="1"/>
  <c r="D5" i="4"/>
  <c r="D4" i="4"/>
  <c r="E4" i="4" s="1"/>
  <c r="F4" i="4" s="1"/>
  <c r="D10" i="3"/>
  <c r="E10" i="3" s="1"/>
  <c r="B11" i="6"/>
  <c r="B12" i="6" s="1"/>
  <c r="B8" i="6"/>
  <c r="B11" i="5"/>
  <c r="B12" i="5" s="1"/>
  <c r="B8" i="5"/>
  <c r="B35" i="3"/>
  <c r="D30" i="3"/>
  <c r="E30" i="3" s="1"/>
  <c r="F30" i="3" s="1"/>
  <c r="D29" i="3"/>
  <c r="E29" i="3" s="1"/>
  <c r="F29" i="3" s="1"/>
  <c r="D28" i="3"/>
  <c r="E28" i="3" s="1"/>
  <c r="F28" i="3" s="1"/>
  <c r="D27" i="3"/>
  <c r="E27" i="3" s="1"/>
  <c r="F27" i="3" s="1"/>
  <c r="D26" i="3"/>
  <c r="E26" i="3" s="1"/>
  <c r="F26" i="3" s="1"/>
  <c r="D25" i="3"/>
  <c r="E25" i="3" s="1"/>
  <c r="F25" i="3" s="1"/>
  <c r="D24" i="3"/>
  <c r="E24" i="3" s="1"/>
  <c r="F24" i="3" s="1"/>
  <c r="D23" i="3"/>
  <c r="E23" i="3" s="1"/>
  <c r="F23" i="3" s="1"/>
  <c r="D22" i="3"/>
  <c r="E22" i="3" s="1"/>
  <c r="F22" i="3" s="1"/>
  <c r="D21" i="3"/>
  <c r="E21" i="3" s="1"/>
  <c r="F21" i="3" s="1"/>
  <c r="D20" i="3"/>
  <c r="E20" i="3" s="1"/>
  <c r="F20" i="3" s="1"/>
  <c r="D19" i="3"/>
  <c r="E19" i="3" s="1"/>
  <c r="F19" i="3" s="1"/>
  <c r="D18" i="3"/>
  <c r="E18" i="3" s="1"/>
  <c r="F18" i="3" s="1"/>
  <c r="D17" i="3"/>
  <c r="E17" i="3" s="1"/>
  <c r="F17" i="3" s="1"/>
  <c r="D16" i="3"/>
  <c r="E16" i="3" s="1"/>
  <c r="D15" i="3"/>
  <c r="E15" i="3" s="1"/>
  <c r="D14" i="3"/>
  <c r="E14" i="3" s="1"/>
  <c r="D13" i="3"/>
  <c r="E13" i="3" s="1"/>
  <c r="D12" i="3"/>
  <c r="E12" i="3" s="1"/>
  <c r="D11" i="3"/>
  <c r="E11" i="3" s="1"/>
  <c r="B5" i="3"/>
  <c r="B35" i="2"/>
  <c r="D30" i="2"/>
  <c r="E30" i="2" s="1"/>
  <c r="F30" i="2" s="1"/>
  <c r="D29" i="2"/>
  <c r="E29" i="2" s="1"/>
  <c r="F29" i="2" s="1"/>
  <c r="D28" i="2"/>
  <c r="E28" i="2" s="1"/>
  <c r="F28" i="2" s="1"/>
  <c r="D27" i="2"/>
  <c r="E27" i="2" s="1"/>
  <c r="F27" i="2" s="1"/>
  <c r="D26" i="2"/>
  <c r="E26" i="2" s="1"/>
  <c r="F26" i="2" s="1"/>
  <c r="D25" i="2"/>
  <c r="E25" i="2" s="1"/>
  <c r="F25" i="2" s="1"/>
  <c r="D24" i="2"/>
  <c r="E24" i="2" s="1"/>
  <c r="F24" i="2" s="1"/>
  <c r="D23" i="2"/>
  <c r="E23" i="2" s="1"/>
  <c r="F23" i="2" s="1"/>
  <c r="D22" i="2"/>
  <c r="E22" i="2" s="1"/>
  <c r="F22" i="2" s="1"/>
  <c r="D21" i="2"/>
  <c r="E21" i="2" s="1"/>
  <c r="F21" i="2" s="1"/>
  <c r="D20" i="2"/>
  <c r="E20" i="2" s="1"/>
  <c r="F20" i="2" s="1"/>
  <c r="D19" i="2"/>
  <c r="E19" i="2" s="1"/>
  <c r="F19" i="2" s="1"/>
  <c r="D18" i="2"/>
  <c r="E18" i="2" s="1"/>
  <c r="F18" i="2" s="1"/>
  <c r="D17" i="2"/>
  <c r="E17" i="2" s="1"/>
  <c r="F17" i="2" s="1"/>
  <c r="D16" i="2"/>
  <c r="E16" i="2" s="1"/>
  <c r="D15" i="2"/>
  <c r="E15" i="2" s="1"/>
  <c r="D14" i="2"/>
  <c r="E14" i="2" s="1"/>
  <c r="D13" i="2"/>
  <c r="E13" i="2" s="1"/>
  <c r="D12" i="2"/>
  <c r="E12" i="2" s="1"/>
  <c r="D11" i="2"/>
  <c r="E11" i="2" s="1"/>
  <c r="D10" i="2"/>
  <c r="E10" i="2" s="1"/>
  <c r="B5" i="2"/>
  <c r="F12" i="2" l="1"/>
  <c r="F11" i="2"/>
  <c r="F12" i="3"/>
  <c r="F16" i="3"/>
  <c r="F13" i="3"/>
  <c r="F14" i="3"/>
  <c r="F14" i="2"/>
  <c r="F15" i="3"/>
  <c r="F16" i="2"/>
  <c r="F10" i="3"/>
  <c r="F13" i="2"/>
  <c r="F15" i="2"/>
  <c r="F10" i="2"/>
  <c r="F11" i="3"/>
</calcChain>
</file>

<file path=xl/sharedStrings.xml><?xml version="1.0" encoding="utf-8"?>
<sst xmlns="http://schemas.openxmlformats.org/spreadsheetml/2006/main" count="86" uniqueCount="43">
  <si>
    <t>How to use this workbook</t>
  </si>
  <si>
    <t>Only type in BLUE cells. Everything else calculates automatically.</t>
  </si>
  <si>
    <t>1 - Inverting_G10: enter Vin and Vout Vpp for each frequency row.</t>
  </si>
  <si>
    <t>2 - Inverting_G100: do the same.</t>
  </si>
  <si>
    <t>3 - Check the chart on each sheet updates.</t>
  </si>
  <si>
    <t>4 - Combined_Chart: check both curves appear on one plot.</t>
  </si>
  <si>
    <t>5 - NonInv_Rin3k and NonInv_Rin10k: enter measured Vin and Vout at 1 kHz, then compare measured gain to expected.</t>
  </si>
  <si>
    <t>EI1EL2 Lab 2 - Inverting G10</t>
  </si>
  <si>
    <t>I wil only type in the BLUE cells</t>
  </si>
  <si>
    <t>Low frequency gain (dB) expected</t>
  </si>
  <si>
    <t>Target level (-3 dB)</t>
  </si>
  <si>
    <t>Linear gain (for GBP)</t>
  </si>
  <si>
    <t>Frequency (Hz)</t>
  </si>
  <si>
    <t>Vin (Vp-p)</t>
  </si>
  <si>
    <t>Vout (Vp-p)</t>
  </si>
  <si>
    <t>Gain (Vout / Vin)</t>
  </si>
  <si>
    <t>Gain (dB)</t>
  </si>
  <si>
    <t>Below -3 dB?</t>
  </si>
  <si>
    <t>Notes</t>
  </si>
  <si>
    <t>Screenshot?</t>
  </si>
  <si>
    <t>Cut-off and GBP (auto)</t>
  </si>
  <si>
    <t>Estimated f-3dB (Hz)</t>
  </si>
  <si>
    <t>Gain-bandwidth product (Hz)</t>
  </si>
  <si>
    <t>Note</t>
  </si>
  <si>
    <t>If  gain 100 data clips, GBP may not be reliable. Tell a demonstrator.</t>
  </si>
  <si>
    <t>EI1EL2 Lab 2 - Inverting G100</t>
  </si>
  <si>
    <t>If gain 100 data clips, GBP may not be reliable. Tell a demonstrator.</t>
  </si>
  <si>
    <t>Combined gain plot - Inverting amplifiers</t>
  </si>
  <si>
    <t>Non-inverting test - Rin 3000 ohm, Rf 10000 ohm</t>
  </si>
  <si>
    <t>Only type in BLUE cells</t>
  </si>
  <si>
    <t>Set generator</t>
  </si>
  <si>
    <t>Sine, 1 kHz, 0.500 Vpp</t>
  </si>
  <si>
    <t>Rin (ohm)</t>
  </si>
  <si>
    <t>Rf (ohm)</t>
  </si>
  <si>
    <t>Expected gain</t>
  </si>
  <si>
    <t>Measured Vin (Vpp)</t>
  </si>
  <si>
    <t>Measured Vout (Vpp)</t>
  </si>
  <si>
    <t>Measured gain</t>
  </si>
  <si>
    <t>Match expected?</t>
  </si>
  <si>
    <t>Screenshot added to report?</t>
  </si>
  <si>
    <t>Non-inverting test - Rin 10000 ohm, Rf 10000 ohm</t>
  </si>
  <si>
    <t>Gain (dB) - 10</t>
  </si>
  <si>
    <t>Gain (dB) - 100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</si>
</sst>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9C0006"/>
      <name val="Calibri"/>
    </font>
    <font>
      <b/>
      <sz val="11"/>
      <color rgb="FFFFFFFF"/>
      <name val="Calibri"/>
    </font>
    <font>
      <sz val="11"/>
      <color rgb="FF0000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 vertical="center" wrapText="1"/>
    </xf>
    <xf numFmtId="2" fontId="0" fillId="0" borderId="0" xfId="0" applyNumberFormat="1" applyAlignment="1">
      <alignment horizontal="left" vertical="center" wrapText="1"/>
    </xf>
    <xf numFmtId="1" fontId="0" fillId="0" borderId="0" xfId="0" applyNumberForma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64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/>
    <xf numFmtId="164" fontId="4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4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Gain (dB) vs Frequency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0798722222222221"/>
          <c:y val="9.9937346541359745E-2"/>
          <c:w val="0.63746018518518521"/>
          <c:h val="0.76542732454301199"/>
        </c:manualLayout>
      </c:layout>
      <c:scatterChart>
        <c:scatterStyle val="lineMarker"/>
        <c:varyColors val="1"/>
        <c:ser>
          <c:idx val="0"/>
          <c:order val="0"/>
          <c:tx>
            <c:v>10x (measured)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'Inverting Amplifer (Gain of 10)'!$A$10:$A$30</c:f>
              <c:numCache>
                <c:formatCode>0</c:formatCode>
                <c:ptCount val="21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500</c:v>
                </c:pt>
                <c:pt idx="9">
                  <c:v>1000</c:v>
                </c:pt>
                <c:pt idx="10">
                  <c:v>3000</c:v>
                </c:pt>
                <c:pt idx="11">
                  <c:v>5000</c:v>
                </c:pt>
                <c:pt idx="12">
                  <c:v>10000</c:v>
                </c:pt>
                <c:pt idx="13">
                  <c:v>20000</c:v>
                </c:pt>
                <c:pt idx="14">
                  <c:v>30000</c:v>
                </c:pt>
                <c:pt idx="15">
                  <c:v>50000</c:v>
                </c:pt>
                <c:pt idx="16">
                  <c:v>100000</c:v>
                </c:pt>
                <c:pt idx="17">
                  <c:v>200000</c:v>
                </c:pt>
                <c:pt idx="18">
                  <c:v>300000</c:v>
                </c:pt>
                <c:pt idx="19">
                  <c:v>500000</c:v>
                </c:pt>
                <c:pt idx="20">
                  <c:v>1000000</c:v>
                </c:pt>
              </c:numCache>
            </c:numRef>
          </c:xVal>
          <c:yVal>
            <c:numRef>
              <c:f>'Inverting Amplifer (Gain of 10)'!$E$10:$E$30</c:f>
              <c:numCache>
                <c:formatCode>General</c:formatCode>
                <c:ptCount val="21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20.144768178478387</c:v>
                </c:pt>
                <c:pt idx="4">
                  <c:v>20.144768178478387</c:v>
                </c:pt>
                <c:pt idx="5">
                  <c:v>20.144768178478387</c:v>
                </c:pt>
                <c:pt idx="6">
                  <c:v>20.216257385644351</c:v>
                </c:pt>
                <c:pt idx="7">
                  <c:v>20.216257385644351</c:v>
                </c:pt>
                <c:pt idx="8">
                  <c:v>20.216257385644351</c:v>
                </c:pt>
                <c:pt idx="9">
                  <c:v>20.216257385644351</c:v>
                </c:pt>
                <c:pt idx="10">
                  <c:v>20.214477307835462</c:v>
                </c:pt>
                <c:pt idx="11">
                  <c:v>20.142394822458954</c:v>
                </c:pt>
                <c:pt idx="12">
                  <c:v>20.142394822458954</c:v>
                </c:pt>
                <c:pt idx="13">
                  <c:v>20.142394822458954</c:v>
                </c:pt>
                <c:pt idx="14">
                  <c:v>20</c:v>
                </c:pt>
                <c:pt idx="15">
                  <c:v>19.927314306898118</c:v>
                </c:pt>
                <c:pt idx="16">
                  <c:v>19.328653047074631</c:v>
                </c:pt>
                <c:pt idx="17">
                  <c:v>17.571556742290745</c:v>
                </c:pt>
                <c:pt idx="18">
                  <c:v>15.747838142371124</c:v>
                </c:pt>
                <c:pt idx="19">
                  <c:v>12.282969818714026</c:v>
                </c:pt>
                <c:pt idx="20">
                  <c:v>6.8291730543917879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CE-45FA-8ECC-D52AE2E86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Frequency (Hz)</a:t>
                </a:r>
              </a:p>
            </c:rich>
          </c:tx>
          <c:overlay val="1"/>
        </c:title>
        <c:numFmt formatCode="0" sourceLinked="1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Gain (dB)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Gain (dB) vs Frequency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682055555555554E-2"/>
          <c:y val="0.11337111111111112"/>
          <c:w val="0.69791880079218749"/>
          <c:h val="0.74896146178449008"/>
        </c:manualLayout>
      </c:layout>
      <c:scatterChart>
        <c:scatterStyle val="lineMarker"/>
        <c:varyColors val="1"/>
        <c:ser>
          <c:idx val="0"/>
          <c:order val="0"/>
          <c:tx>
            <c:v>100x (measured)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'Inverting Amplifer(Gain of 100)'!$A$10:$A$30</c:f>
              <c:numCache>
                <c:formatCode>0</c:formatCode>
                <c:ptCount val="21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500</c:v>
                </c:pt>
                <c:pt idx="9">
                  <c:v>1000</c:v>
                </c:pt>
                <c:pt idx="10">
                  <c:v>3000</c:v>
                </c:pt>
                <c:pt idx="11">
                  <c:v>5000</c:v>
                </c:pt>
                <c:pt idx="12">
                  <c:v>10000</c:v>
                </c:pt>
                <c:pt idx="13">
                  <c:v>20000</c:v>
                </c:pt>
                <c:pt idx="14">
                  <c:v>30000</c:v>
                </c:pt>
                <c:pt idx="15">
                  <c:v>50000</c:v>
                </c:pt>
                <c:pt idx="16">
                  <c:v>100000</c:v>
                </c:pt>
                <c:pt idx="17">
                  <c:v>200000</c:v>
                </c:pt>
                <c:pt idx="18">
                  <c:v>300000</c:v>
                </c:pt>
                <c:pt idx="19">
                  <c:v>500000</c:v>
                </c:pt>
                <c:pt idx="20">
                  <c:v>1000000</c:v>
                </c:pt>
              </c:numCache>
            </c:numRef>
          </c:xVal>
          <c:yVal>
            <c:numRef>
              <c:f>'Inverting Amplifer(Gain of 100)'!$E$10:$E$30</c:f>
              <c:numCache>
                <c:formatCode>General</c:formatCode>
                <c:ptCount val="21"/>
                <c:pt idx="0">
                  <c:v>40</c:v>
                </c:pt>
                <c:pt idx="1">
                  <c:v>40.072685693101882</c:v>
                </c:pt>
                <c:pt idx="2">
                  <c:v>40.072685693101882</c:v>
                </c:pt>
                <c:pt idx="3">
                  <c:v>40.072685693101882</c:v>
                </c:pt>
                <c:pt idx="4">
                  <c:v>40.072685693101882</c:v>
                </c:pt>
                <c:pt idx="5">
                  <c:v>40.072685693101882</c:v>
                </c:pt>
                <c:pt idx="6">
                  <c:v>40.072685693101882</c:v>
                </c:pt>
                <c:pt idx="7">
                  <c:v>40.072685693101882</c:v>
                </c:pt>
                <c:pt idx="8">
                  <c:v>40.145984774829991</c:v>
                </c:pt>
                <c:pt idx="9">
                  <c:v>40.145984774829991</c:v>
                </c:pt>
                <c:pt idx="10">
                  <c:v>40</c:v>
                </c:pt>
                <c:pt idx="11">
                  <c:v>39.855231821521613</c:v>
                </c:pt>
                <c:pt idx="12">
                  <c:v>39.257163839908664</c:v>
                </c:pt>
                <c:pt idx="13">
                  <c:v>37.571556742290745</c:v>
                </c:pt>
                <c:pt idx="14">
                  <c:v>35.747838142371123</c:v>
                </c:pt>
                <c:pt idx="15">
                  <c:v>32.381866612534857</c:v>
                </c:pt>
                <c:pt idx="16">
                  <c:v>27.535014192041988</c:v>
                </c:pt>
                <c:pt idx="17">
                  <c:v>22.074988750767236</c:v>
                </c:pt>
                <c:pt idx="18">
                  <c:v>19.576214018601238</c:v>
                </c:pt>
                <c:pt idx="19">
                  <c:v>16.123599479677743</c:v>
                </c:pt>
                <c:pt idx="20">
                  <c:v>13.764922778884914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53-44F5-8BB7-855126A12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Frequency (Hz)</a:t>
                </a:r>
              </a:p>
            </c:rich>
          </c:tx>
          <c:overlay val="1"/>
        </c:title>
        <c:numFmt formatCode="0" sourceLinked="1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Gain (dB)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80093569019662"/>
          <c:y val="0.12923344947735191"/>
          <c:w val="0.71383800131520447"/>
          <c:h val="0.71605119482015966"/>
        </c:manualLayout>
      </c:layout>
      <c:scatterChart>
        <c:scatterStyle val="lineMarker"/>
        <c:varyColors val="0"/>
        <c:ser>
          <c:idx val="0"/>
          <c:order val="0"/>
          <c:tx>
            <c:strRef>
              <c:f>Combined_Chart!$E$3</c:f>
              <c:strCache>
                <c:ptCount val="1"/>
                <c:pt idx="0">
                  <c:v>Gain (dB) - 10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Combined_Chart!$A$4:$A$24</c:f>
              <c:numCache>
                <c:formatCode>0</c:formatCode>
                <c:ptCount val="21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500</c:v>
                </c:pt>
                <c:pt idx="9">
                  <c:v>1000</c:v>
                </c:pt>
                <c:pt idx="10">
                  <c:v>3000</c:v>
                </c:pt>
                <c:pt idx="11">
                  <c:v>5000</c:v>
                </c:pt>
                <c:pt idx="12">
                  <c:v>10000</c:v>
                </c:pt>
                <c:pt idx="13">
                  <c:v>20000</c:v>
                </c:pt>
                <c:pt idx="14">
                  <c:v>30000</c:v>
                </c:pt>
                <c:pt idx="15">
                  <c:v>50000</c:v>
                </c:pt>
                <c:pt idx="16">
                  <c:v>100000</c:v>
                </c:pt>
                <c:pt idx="17">
                  <c:v>200000</c:v>
                </c:pt>
                <c:pt idx="18">
                  <c:v>300000</c:v>
                </c:pt>
                <c:pt idx="19">
                  <c:v>500000</c:v>
                </c:pt>
                <c:pt idx="20">
                  <c:v>1000000</c:v>
                </c:pt>
              </c:numCache>
            </c:numRef>
          </c:xVal>
          <c:yVal>
            <c:numRef>
              <c:f>Combined_Chart!$E$4:$E$24</c:f>
              <c:numCache>
                <c:formatCode>General</c:formatCode>
                <c:ptCount val="21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20.144768178478387</c:v>
                </c:pt>
                <c:pt idx="4">
                  <c:v>20.144768178478387</c:v>
                </c:pt>
                <c:pt idx="5">
                  <c:v>20.144768178478387</c:v>
                </c:pt>
                <c:pt idx="6">
                  <c:v>20.216257385644351</c:v>
                </c:pt>
                <c:pt idx="7">
                  <c:v>20.216257385644351</c:v>
                </c:pt>
                <c:pt idx="8">
                  <c:v>20.216257385644351</c:v>
                </c:pt>
                <c:pt idx="9">
                  <c:v>20.216257385644351</c:v>
                </c:pt>
                <c:pt idx="10">
                  <c:v>20.214477307835462</c:v>
                </c:pt>
                <c:pt idx="11">
                  <c:v>20.142394822458954</c:v>
                </c:pt>
                <c:pt idx="12">
                  <c:v>20.142394822458954</c:v>
                </c:pt>
                <c:pt idx="13">
                  <c:v>20.142394822458954</c:v>
                </c:pt>
                <c:pt idx="14">
                  <c:v>20</c:v>
                </c:pt>
                <c:pt idx="15">
                  <c:v>19.927314306898118</c:v>
                </c:pt>
                <c:pt idx="16">
                  <c:v>19.328653047074631</c:v>
                </c:pt>
                <c:pt idx="17">
                  <c:v>17.571556742290745</c:v>
                </c:pt>
                <c:pt idx="18">
                  <c:v>15.747838142371124</c:v>
                </c:pt>
                <c:pt idx="19">
                  <c:v>12.282969818714026</c:v>
                </c:pt>
                <c:pt idx="20">
                  <c:v>6.8291730543917879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BD-465C-B7F8-B969E045B7E2}"/>
            </c:ext>
          </c:extLst>
        </c:ser>
        <c:ser>
          <c:idx val="1"/>
          <c:order val="1"/>
          <c:tx>
            <c:strRef>
              <c:f>Combined_Chart!$E$27</c:f>
              <c:strCache>
                <c:ptCount val="1"/>
                <c:pt idx="0">
                  <c:v>Gain (dB) - 100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Combined_Chart!$A$28:$A$48</c:f>
              <c:numCache>
                <c:formatCode>0</c:formatCode>
                <c:ptCount val="21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  <c:pt idx="7">
                  <c:v>300</c:v>
                </c:pt>
                <c:pt idx="8">
                  <c:v>500</c:v>
                </c:pt>
                <c:pt idx="9">
                  <c:v>1000</c:v>
                </c:pt>
                <c:pt idx="10">
                  <c:v>3000</c:v>
                </c:pt>
                <c:pt idx="11">
                  <c:v>5000</c:v>
                </c:pt>
                <c:pt idx="12">
                  <c:v>10000</c:v>
                </c:pt>
                <c:pt idx="13">
                  <c:v>20000</c:v>
                </c:pt>
                <c:pt idx="14">
                  <c:v>30000</c:v>
                </c:pt>
                <c:pt idx="15">
                  <c:v>50000</c:v>
                </c:pt>
                <c:pt idx="16">
                  <c:v>100000</c:v>
                </c:pt>
                <c:pt idx="17">
                  <c:v>200000</c:v>
                </c:pt>
                <c:pt idx="18">
                  <c:v>300000</c:v>
                </c:pt>
                <c:pt idx="19">
                  <c:v>500000</c:v>
                </c:pt>
                <c:pt idx="20">
                  <c:v>1000000</c:v>
                </c:pt>
              </c:numCache>
            </c:numRef>
          </c:xVal>
          <c:yVal>
            <c:numRef>
              <c:f>Combined_Chart!$E$28:$E$48</c:f>
              <c:numCache>
                <c:formatCode>General</c:formatCode>
                <c:ptCount val="21"/>
                <c:pt idx="0">
                  <c:v>40</c:v>
                </c:pt>
                <c:pt idx="1">
                  <c:v>40.072685693101882</c:v>
                </c:pt>
                <c:pt idx="2">
                  <c:v>40.072685693101882</c:v>
                </c:pt>
                <c:pt idx="3">
                  <c:v>40.072685693101882</c:v>
                </c:pt>
                <c:pt idx="4">
                  <c:v>40.072685693101882</c:v>
                </c:pt>
                <c:pt idx="5">
                  <c:v>40.072685693101882</c:v>
                </c:pt>
                <c:pt idx="6">
                  <c:v>40.072685693101882</c:v>
                </c:pt>
                <c:pt idx="7">
                  <c:v>40.072685693101882</c:v>
                </c:pt>
                <c:pt idx="8">
                  <c:v>40.145984774829991</c:v>
                </c:pt>
                <c:pt idx="9">
                  <c:v>40.145984774829991</c:v>
                </c:pt>
                <c:pt idx="10">
                  <c:v>40</c:v>
                </c:pt>
                <c:pt idx="11">
                  <c:v>39.855231821521613</c:v>
                </c:pt>
                <c:pt idx="12">
                  <c:v>39.257163839908664</c:v>
                </c:pt>
                <c:pt idx="13">
                  <c:v>37.571556742290745</c:v>
                </c:pt>
                <c:pt idx="14">
                  <c:v>35.747838142371123</c:v>
                </c:pt>
                <c:pt idx="15">
                  <c:v>32.381866612534857</c:v>
                </c:pt>
                <c:pt idx="16">
                  <c:v>27.535014192041988</c:v>
                </c:pt>
                <c:pt idx="17">
                  <c:v>22.074988750767236</c:v>
                </c:pt>
                <c:pt idx="18">
                  <c:v>19.576214018601238</c:v>
                </c:pt>
                <c:pt idx="19">
                  <c:v>16.123599479677743</c:v>
                </c:pt>
                <c:pt idx="20">
                  <c:v>13.764922778884914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BD-465C-B7F8-B969E045B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0986368"/>
        <c:axId val="1540984928"/>
      </c:scatterChart>
      <c:valAx>
        <c:axId val="154098636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984928"/>
        <c:crosses val="autoZero"/>
        <c:crossBetween val="midCat"/>
      </c:valAx>
      <c:valAx>
        <c:axId val="154098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986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780231690321536"/>
          <c:y val="0.38713380339652664"/>
          <c:w val="0.17994416236989466"/>
          <c:h val="0.184233861011276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8</xdr:row>
      <xdr:rowOff>0</xdr:rowOff>
    </xdr:from>
    <xdr:ext cx="5400000" cy="32194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146050</xdr:colOff>
      <xdr:row>7</xdr:row>
      <xdr:rowOff>158750</xdr:rowOff>
    </xdr:from>
    <xdr:ext cx="5857200" cy="34861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447674</xdr:colOff>
      <xdr:row>2</xdr:row>
      <xdr:rowOff>184150</xdr:rowOff>
    </xdr:from>
    <xdr:to>
      <xdr:col>17</xdr:col>
      <xdr:colOff>596900</xdr:colOff>
      <xdr:row>20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859706-48B1-40FB-F021-B83A022A25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sqref="A1:H1"/>
    </sheetView>
  </sheetViews>
  <sheetFormatPr defaultRowHeight="14.5" x14ac:dyDescent="0.35"/>
  <cols>
    <col min="1" max="1" width="110" customWidth="1"/>
  </cols>
  <sheetData>
    <row r="1" spans="1:8" x14ac:dyDescent="0.35">
      <c r="A1" s="22" t="s">
        <v>0</v>
      </c>
      <c r="B1" s="21"/>
      <c r="C1" s="21"/>
      <c r="D1" s="21"/>
      <c r="E1" s="21"/>
      <c r="F1" s="21"/>
      <c r="G1" s="21"/>
      <c r="H1" s="21"/>
    </row>
    <row r="3" spans="1:8" x14ac:dyDescent="0.35">
      <c r="A3" s="23" t="s">
        <v>1</v>
      </c>
      <c r="B3" s="21"/>
      <c r="C3" s="21"/>
      <c r="D3" s="21"/>
      <c r="E3" s="21"/>
      <c r="F3" s="21"/>
      <c r="G3" s="21"/>
      <c r="H3" s="21"/>
    </row>
    <row r="5" spans="1:8" x14ac:dyDescent="0.35">
      <c r="A5" s="20" t="s">
        <v>2</v>
      </c>
      <c r="B5" s="21"/>
      <c r="C5" s="21"/>
      <c r="D5" s="21"/>
      <c r="E5" s="21"/>
      <c r="F5" s="21"/>
      <c r="G5" s="21"/>
      <c r="H5" s="21"/>
    </row>
    <row r="6" spans="1:8" x14ac:dyDescent="0.35">
      <c r="A6" s="20" t="s">
        <v>3</v>
      </c>
      <c r="B6" s="21"/>
      <c r="C6" s="21"/>
      <c r="D6" s="21"/>
      <c r="E6" s="21"/>
      <c r="F6" s="21"/>
      <c r="G6" s="21"/>
      <c r="H6" s="21"/>
    </row>
    <row r="7" spans="1:8" x14ac:dyDescent="0.35">
      <c r="A7" s="20" t="s">
        <v>4</v>
      </c>
      <c r="B7" s="21"/>
      <c r="C7" s="21"/>
      <c r="D7" s="21"/>
      <c r="E7" s="21"/>
      <c r="F7" s="21"/>
      <c r="G7" s="21"/>
      <c r="H7" s="21"/>
    </row>
    <row r="8" spans="1:8" x14ac:dyDescent="0.35">
      <c r="A8" s="20" t="s">
        <v>5</v>
      </c>
      <c r="B8" s="21"/>
      <c r="C8" s="21"/>
      <c r="D8" s="21"/>
      <c r="E8" s="21"/>
      <c r="F8" s="21"/>
      <c r="G8" s="21"/>
      <c r="H8" s="21"/>
    </row>
    <row r="9" spans="1:8" x14ac:dyDescent="0.35">
      <c r="A9" s="20" t="s">
        <v>6</v>
      </c>
      <c r="B9" s="21"/>
      <c r="C9" s="21"/>
      <c r="D9" s="21"/>
      <c r="E9" s="21"/>
      <c r="F9" s="21"/>
      <c r="G9" s="21"/>
      <c r="H9" s="21"/>
    </row>
  </sheetData>
  <mergeCells count="7">
    <mergeCell ref="A9:H9"/>
    <mergeCell ref="A1:H1"/>
    <mergeCell ref="A3:H3"/>
    <mergeCell ref="A7:H7"/>
    <mergeCell ref="A5:H5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topLeftCell="A8" zoomScaleNormal="100" workbookViewId="0">
      <selection activeCell="A9" sqref="A9:H30"/>
    </sheetView>
  </sheetViews>
  <sheetFormatPr defaultRowHeight="14.5" x14ac:dyDescent="0.35"/>
  <cols>
    <col min="1" max="1" width="21.453125" bestFit="1" customWidth="1"/>
    <col min="2" max="2" width="11.1796875" bestFit="1" customWidth="1"/>
    <col min="3" max="3" width="12.453125" bestFit="1" customWidth="1"/>
    <col min="4" max="4" width="13.26953125" customWidth="1"/>
    <col min="5" max="5" width="9.26953125" bestFit="1" customWidth="1"/>
    <col min="6" max="6" width="12.453125" bestFit="1" customWidth="1"/>
    <col min="7" max="7" width="6.26953125" bestFit="1" customWidth="1"/>
    <col min="8" max="8" width="11.81640625" bestFit="1" customWidth="1"/>
  </cols>
  <sheetData>
    <row r="1" spans="1:8" x14ac:dyDescent="0.35">
      <c r="A1" s="22" t="s">
        <v>7</v>
      </c>
      <c r="B1" s="21"/>
      <c r="C1" s="21"/>
      <c r="D1" s="21"/>
      <c r="E1" s="21"/>
      <c r="F1" s="21"/>
      <c r="G1" s="21"/>
      <c r="H1" s="21"/>
    </row>
    <row r="3" spans="1:8" x14ac:dyDescent="0.35">
      <c r="A3" s="24" t="s">
        <v>8</v>
      </c>
      <c r="B3" s="21"/>
      <c r="C3" s="21"/>
      <c r="D3" s="21"/>
      <c r="E3" s="21"/>
      <c r="F3" s="21"/>
      <c r="G3" s="21"/>
      <c r="H3" s="21"/>
    </row>
    <row r="4" spans="1:8" ht="29" x14ac:dyDescent="0.35">
      <c r="A4" s="1" t="s">
        <v>9</v>
      </c>
      <c r="B4" s="2">
        <v>20</v>
      </c>
    </row>
    <row r="5" spans="1:8" x14ac:dyDescent="0.35">
      <c r="A5" s="1" t="s">
        <v>10</v>
      </c>
      <c r="B5" s="2">
        <f>B4-3</f>
        <v>17</v>
      </c>
    </row>
    <row r="6" spans="1:8" ht="30.75" customHeight="1" x14ac:dyDescent="0.35">
      <c r="A6" s="1" t="s">
        <v>11</v>
      </c>
      <c r="B6" s="3">
        <v>10</v>
      </c>
    </row>
    <row r="9" spans="1:8" ht="24" customHeight="1" x14ac:dyDescent="0.35">
      <c r="A9" s="4" t="s">
        <v>12</v>
      </c>
      <c r="B9" s="4" t="s">
        <v>13</v>
      </c>
      <c r="C9" s="4" t="s">
        <v>14</v>
      </c>
      <c r="D9" s="4" t="s">
        <v>15</v>
      </c>
      <c r="E9" s="4" t="s">
        <v>16</v>
      </c>
      <c r="F9" s="4" t="s">
        <v>17</v>
      </c>
      <c r="G9" s="4" t="s">
        <v>18</v>
      </c>
      <c r="H9" s="4" t="s">
        <v>19</v>
      </c>
    </row>
    <row r="10" spans="1:8" x14ac:dyDescent="0.35">
      <c r="A10" s="5">
        <v>1</v>
      </c>
      <c r="B10" s="6">
        <v>0.24</v>
      </c>
      <c r="C10" s="6">
        <v>2.4</v>
      </c>
      <c r="D10" s="17">
        <f t="shared" ref="D10:D30" si="0">IF(OR(B10="",C10=""),"",C10/B10)</f>
        <v>10</v>
      </c>
      <c r="E10" s="17">
        <f t="shared" ref="E10:E30" si="1">IF(D10="","",20*LOG10(ABS(D10)))</f>
        <v>20</v>
      </c>
      <c r="F10" s="7" t="str">
        <f t="shared" ref="F10:F30" si="2">IF(E10="","",IF(E10&lt;=$B$5,"YES","NO"))</f>
        <v>NO</v>
      </c>
      <c r="G10" s="8"/>
      <c r="H10" s="7"/>
    </row>
    <row r="11" spans="1:8" x14ac:dyDescent="0.35">
      <c r="A11" s="5">
        <v>3</v>
      </c>
      <c r="B11" s="6">
        <v>0.24</v>
      </c>
      <c r="C11" s="6">
        <v>2.4</v>
      </c>
      <c r="D11" s="17">
        <f t="shared" si="0"/>
        <v>10</v>
      </c>
      <c r="E11" s="17">
        <f t="shared" si="1"/>
        <v>20</v>
      </c>
      <c r="F11" s="7" t="str">
        <f t="shared" si="2"/>
        <v>NO</v>
      </c>
      <c r="G11" s="8"/>
      <c r="H11" s="7"/>
    </row>
    <row r="12" spans="1:8" x14ac:dyDescent="0.35">
      <c r="A12" s="5">
        <v>5</v>
      </c>
      <c r="B12" s="6">
        <v>0.24</v>
      </c>
      <c r="C12" s="6">
        <v>2.4</v>
      </c>
      <c r="D12" s="17">
        <f t="shared" si="0"/>
        <v>10</v>
      </c>
      <c r="E12" s="17">
        <f t="shared" si="1"/>
        <v>20</v>
      </c>
      <c r="F12" s="7" t="str">
        <f t="shared" si="2"/>
        <v>NO</v>
      </c>
      <c r="G12" s="8"/>
      <c r="H12" s="7"/>
    </row>
    <row r="13" spans="1:8" x14ac:dyDescent="0.35">
      <c r="A13" s="5">
        <v>10</v>
      </c>
      <c r="B13" s="6">
        <v>0.23799999999999999</v>
      </c>
      <c r="C13" s="6">
        <v>2.42</v>
      </c>
      <c r="D13" s="17">
        <f t="shared" si="0"/>
        <v>10.168067226890756</v>
      </c>
      <c r="E13" s="17">
        <f t="shared" si="1"/>
        <v>20.144768178478387</v>
      </c>
      <c r="F13" s="7" t="str">
        <f t="shared" si="2"/>
        <v>NO</v>
      </c>
      <c r="G13" s="8"/>
      <c r="H13" s="7"/>
    </row>
    <row r="14" spans="1:8" x14ac:dyDescent="0.35">
      <c r="A14" s="5">
        <v>30</v>
      </c>
      <c r="B14" s="6">
        <v>0.23799999999999999</v>
      </c>
      <c r="C14" s="6">
        <v>2.42</v>
      </c>
      <c r="D14" s="17">
        <f t="shared" si="0"/>
        <v>10.168067226890756</v>
      </c>
      <c r="E14" s="17">
        <f t="shared" si="1"/>
        <v>20.144768178478387</v>
      </c>
      <c r="F14" s="7" t="str">
        <f t="shared" si="2"/>
        <v>NO</v>
      </c>
      <c r="G14" s="8"/>
      <c r="H14" s="7"/>
    </row>
    <row r="15" spans="1:8" x14ac:dyDescent="0.35">
      <c r="A15" s="5">
        <v>50</v>
      </c>
      <c r="B15" s="6">
        <v>0.23799999999999999</v>
      </c>
      <c r="C15" s="6">
        <v>2.42</v>
      </c>
      <c r="D15" s="17">
        <f t="shared" si="0"/>
        <v>10.168067226890756</v>
      </c>
      <c r="E15" s="17">
        <f t="shared" si="1"/>
        <v>20.144768178478387</v>
      </c>
      <c r="F15" s="7" t="str">
        <f t="shared" si="2"/>
        <v>NO</v>
      </c>
      <c r="G15" s="8"/>
      <c r="H15" s="7"/>
    </row>
    <row r="16" spans="1:8" x14ac:dyDescent="0.35">
      <c r="A16" s="5">
        <v>100</v>
      </c>
      <c r="B16" s="6">
        <v>0.23799999999999999</v>
      </c>
      <c r="C16" s="6">
        <v>2.44</v>
      </c>
      <c r="D16" s="17">
        <f t="shared" si="0"/>
        <v>10.252100840336135</v>
      </c>
      <c r="E16" s="17">
        <f t="shared" si="1"/>
        <v>20.216257385644351</v>
      </c>
      <c r="F16" s="7" t="str">
        <f t="shared" si="2"/>
        <v>NO</v>
      </c>
      <c r="G16" s="8"/>
      <c r="H16" s="7"/>
    </row>
    <row r="17" spans="1:8" x14ac:dyDescent="0.35">
      <c r="A17" s="5">
        <v>300</v>
      </c>
      <c r="B17" s="6">
        <v>0.23799999999999999</v>
      </c>
      <c r="C17" s="6">
        <v>2.44</v>
      </c>
      <c r="D17" s="17">
        <f t="shared" si="0"/>
        <v>10.252100840336135</v>
      </c>
      <c r="E17" s="17">
        <f t="shared" si="1"/>
        <v>20.216257385644351</v>
      </c>
      <c r="F17" s="7" t="str">
        <f t="shared" si="2"/>
        <v>NO</v>
      </c>
      <c r="G17" s="8"/>
      <c r="H17" s="7"/>
    </row>
    <row r="18" spans="1:8" x14ac:dyDescent="0.35">
      <c r="A18" s="5">
        <v>500</v>
      </c>
      <c r="B18" s="6">
        <v>0.23799999999999999</v>
      </c>
      <c r="C18" s="6">
        <v>2.44</v>
      </c>
      <c r="D18" s="17">
        <f t="shared" si="0"/>
        <v>10.252100840336135</v>
      </c>
      <c r="E18" s="17">
        <f t="shared" si="1"/>
        <v>20.216257385644351</v>
      </c>
      <c r="F18" s="7" t="str">
        <f t="shared" si="2"/>
        <v>NO</v>
      </c>
      <c r="G18" s="8"/>
      <c r="H18" s="7"/>
    </row>
    <row r="19" spans="1:8" x14ac:dyDescent="0.35">
      <c r="A19" s="5">
        <v>1000</v>
      </c>
      <c r="B19" s="13">
        <v>0.23799999999999999</v>
      </c>
      <c r="C19" s="13">
        <v>2.44</v>
      </c>
      <c r="D19" s="17">
        <f t="shared" si="0"/>
        <v>10.252100840336135</v>
      </c>
      <c r="E19" s="17">
        <f t="shared" si="1"/>
        <v>20.216257385644351</v>
      </c>
      <c r="F19" s="7" t="str">
        <f t="shared" si="2"/>
        <v>NO</v>
      </c>
      <c r="G19" s="8"/>
      <c r="H19" s="7"/>
    </row>
    <row r="20" spans="1:8" x14ac:dyDescent="0.35">
      <c r="A20" s="5">
        <v>3000</v>
      </c>
      <c r="B20" s="6">
        <v>0.24</v>
      </c>
      <c r="C20" s="6">
        <v>2.46</v>
      </c>
      <c r="D20" s="17">
        <f t="shared" si="0"/>
        <v>10.25</v>
      </c>
      <c r="E20" s="17">
        <f t="shared" si="1"/>
        <v>20.214477307835462</v>
      </c>
      <c r="F20" s="7" t="str">
        <f t="shared" si="2"/>
        <v>NO</v>
      </c>
      <c r="G20" s="8"/>
      <c r="H20" s="7"/>
    </row>
    <row r="21" spans="1:8" x14ac:dyDescent="0.35">
      <c r="A21" s="5">
        <v>5000</v>
      </c>
      <c r="B21" s="6">
        <v>0.24199999999999999</v>
      </c>
      <c r="C21" s="6">
        <v>2.46</v>
      </c>
      <c r="D21" s="17">
        <f t="shared" si="0"/>
        <v>10.165289256198347</v>
      </c>
      <c r="E21" s="17">
        <f t="shared" si="1"/>
        <v>20.142394822458954</v>
      </c>
      <c r="F21" s="7" t="str">
        <f t="shared" si="2"/>
        <v>NO</v>
      </c>
      <c r="G21" s="8"/>
      <c r="H21" s="7"/>
    </row>
    <row r="22" spans="1:8" x14ac:dyDescent="0.35">
      <c r="A22" s="5">
        <v>10000</v>
      </c>
      <c r="B22" s="15">
        <v>0.24199999999999999</v>
      </c>
      <c r="C22" s="15">
        <v>2.46</v>
      </c>
      <c r="D22" s="18">
        <f t="shared" si="0"/>
        <v>10.165289256198347</v>
      </c>
      <c r="E22" s="18">
        <f t="shared" si="1"/>
        <v>20.142394822458954</v>
      </c>
      <c r="F22" s="16" t="str">
        <f t="shared" si="2"/>
        <v>NO</v>
      </c>
      <c r="G22" s="16"/>
      <c r="H22" s="16"/>
    </row>
    <row r="23" spans="1:8" x14ac:dyDescent="0.35">
      <c r="A23" s="5">
        <v>20000</v>
      </c>
      <c r="B23" s="6">
        <v>0.24199999999999999</v>
      </c>
      <c r="C23" s="6">
        <v>2.46</v>
      </c>
      <c r="D23" s="17">
        <f t="shared" si="0"/>
        <v>10.165289256198347</v>
      </c>
      <c r="E23" s="17">
        <f t="shared" si="1"/>
        <v>20.142394822458954</v>
      </c>
      <c r="F23" s="7" t="str">
        <f t="shared" si="2"/>
        <v>NO</v>
      </c>
      <c r="G23" s="8"/>
      <c r="H23" s="7"/>
    </row>
    <row r="24" spans="1:8" x14ac:dyDescent="0.35">
      <c r="A24" s="5">
        <v>30000</v>
      </c>
      <c r="B24" s="6">
        <v>0.24399999999999999</v>
      </c>
      <c r="C24" s="6">
        <v>2.44</v>
      </c>
      <c r="D24" s="17">
        <f t="shared" si="0"/>
        <v>10</v>
      </c>
      <c r="E24" s="17">
        <f t="shared" si="1"/>
        <v>20</v>
      </c>
      <c r="F24" s="7" t="str">
        <f t="shared" si="2"/>
        <v>NO</v>
      </c>
      <c r="G24" s="8"/>
      <c r="H24" s="7"/>
    </row>
    <row r="25" spans="1:8" x14ac:dyDescent="0.35">
      <c r="A25" s="5">
        <v>50000</v>
      </c>
      <c r="B25" s="6">
        <v>0.24</v>
      </c>
      <c r="C25" s="6">
        <v>2.38</v>
      </c>
      <c r="D25" s="17">
        <f t="shared" si="0"/>
        <v>9.9166666666666661</v>
      </c>
      <c r="E25" s="17">
        <f t="shared" si="1"/>
        <v>19.927314306898118</v>
      </c>
      <c r="F25" s="7" t="str">
        <f t="shared" si="2"/>
        <v>NO</v>
      </c>
      <c r="G25" s="8"/>
      <c r="H25" s="7"/>
    </row>
    <row r="26" spans="1:8" x14ac:dyDescent="0.35">
      <c r="A26" s="5">
        <v>100000</v>
      </c>
      <c r="B26" s="6">
        <v>0.24199999999999999</v>
      </c>
      <c r="C26" s="6">
        <v>2.2400000000000002</v>
      </c>
      <c r="D26" s="17">
        <f t="shared" si="0"/>
        <v>9.2561983471074392</v>
      </c>
      <c r="E26" s="17">
        <f t="shared" si="1"/>
        <v>19.328653047074631</v>
      </c>
      <c r="F26" s="7" t="str">
        <f t="shared" si="2"/>
        <v>NO</v>
      </c>
      <c r="G26" s="8"/>
      <c r="H26" s="7"/>
    </row>
    <row r="27" spans="1:8" x14ac:dyDescent="0.35">
      <c r="A27" s="5">
        <v>200000</v>
      </c>
      <c r="B27" s="6">
        <v>0.246</v>
      </c>
      <c r="C27" s="6">
        <v>1.86</v>
      </c>
      <c r="D27" s="17">
        <f t="shared" si="0"/>
        <v>7.5609756097560981</v>
      </c>
      <c r="E27" s="17">
        <f t="shared" si="1"/>
        <v>17.571556742290745</v>
      </c>
      <c r="F27" s="7" t="str">
        <f t="shared" si="2"/>
        <v>NO</v>
      </c>
      <c r="G27" s="8"/>
      <c r="H27" s="7"/>
    </row>
    <row r="28" spans="1:8" x14ac:dyDescent="0.35">
      <c r="A28" s="5">
        <v>300000</v>
      </c>
      <c r="B28" s="6">
        <v>0.248</v>
      </c>
      <c r="C28" s="6">
        <v>1.52</v>
      </c>
      <c r="D28" s="17">
        <f t="shared" si="0"/>
        <v>6.129032258064516</v>
      </c>
      <c r="E28" s="17">
        <f t="shared" si="1"/>
        <v>15.747838142371124</v>
      </c>
      <c r="F28" s="7" t="str">
        <f t="shared" si="2"/>
        <v>YES</v>
      </c>
      <c r="G28" s="8"/>
      <c r="H28" s="7"/>
    </row>
    <row r="29" spans="1:8" x14ac:dyDescent="0.35">
      <c r="A29" s="5">
        <v>500000</v>
      </c>
      <c r="B29" s="6">
        <v>0.248</v>
      </c>
      <c r="C29" s="6">
        <v>1.02</v>
      </c>
      <c r="D29" s="17">
        <f t="shared" si="0"/>
        <v>4.112903225806452</v>
      </c>
      <c r="E29" s="17">
        <f t="shared" si="1"/>
        <v>12.282969818714026</v>
      </c>
      <c r="F29" s="7" t="str">
        <f t="shared" si="2"/>
        <v>YES</v>
      </c>
      <c r="G29" s="8"/>
      <c r="H29" s="7"/>
    </row>
    <row r="30" spans="1:8" x14ac:dyDescent="0.35">
      <c r="A30" s="5">
        <v>1000000</v>
      </c>
      <c r="B30" s="6">
        <v>0.246</v>
      </c>
      <c r="C30" s="6">
        <v>0.54</v>
      </c>
      <c r="D30" s="17">
        <f t="shared" si="0"/>
        <v>2.1951219512195124</v>
      </c>
      <c r="E30" s="17">
        <f t="shared" si="1"/>
        <v>6.8291730543917879</v>
      </c>
      <c r="F30" s="7" t="str">
        <f t="shared" si="2"/>
        <v>YES</v>
      </c>
      <c r="G30" s="8"/>
      <c r="H30" s="7"/>
    </row>
    <row r="33" spans="1:2" x14ac:dyDescent="0.35">
      <c r="A33" s="12" t="s">
        <v>20</v>
      </c>
    </row>
    <row r="34" spans="1:2" x14ac:dyDescent="0.35">
      <c r="A34" s="1" t="s">
        <v>21</v>
      </c>
      <c r="B34" s="3"/>
    </row>
    <row r="35" spans="1:2" ht="29" x14ac:dyDescent="0.35">
      <c r="A35" s="1" t="s">
        <v>22</v>
      </c>
      <c r="B35" s="3">
        <f>IF(B20="","",$B$6*B20)</f>
        <v>2.4</v>
      </c>
    </row>
    <row r="36" spans="1:2" ht="116" x14ac:dyDescent="0.35">
      <c r="A36" s="1" t="s">
        <v>23</v>
      </c>
      <c r="B36" s="1" t="s">
        <v>24</v>
      </c>
    </row>
  </sheetData>
  <mergeCells count="2">
    <mergeCell ref="A3:H3"/>
    <mergeCell ref="A1:H1"/>
  </mergeCells>
  <pageMargins left="0.75" right="0.75" top="1" bottom="1" header="0.5" footer="0.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"/>
  <sheetViews>
    <sheetView topLeftCell="A8" workbookViewId="0">
      <selection activeCell="A9" sqref="A9:H30"/>
    </sheetView>
  </sheetViews>
  <sheetFormatPr defaultRowHeight="14.5" x14ac:dyDescent="0.35"/>
  <cols>
    <col min="1" max="1" width="14.453125" bestFit="1" customWidth="1"/>
    <col min="2" max="2" width="11.1796875" bestFit="1" customWidth="1"/>
    <col min="3" max="3" width="12.453125" bestFit="1" customWidth="1"/>
    <col min="4" max="4" width="12.1796875" bestFit="1" customWidth="1"/>
    <col min="5" max="5" width="9.26953125" bestFit="1" customWidth="1"/>
    <col min="6" max="6" width="12.453125" bestFit="1" customWidth="1"/>
    <col min="7" max="7" width="6.26953125" bestFit="1" customWidth="1"/>
    <col min="8" max="8" width="11.81640625" bestFit="1" customWidth="1"/>
  </cols>
  <sheetData>
    <row r="1" spans="1:8" x14ac:dyDescent="0.35">
      <c r="A1" s="22" t="s">
        <v>25</v>
      </c>
      <c r="B1" s="21"/>
      <c r="C1" s="21"/>
      <c r="D1" s="21"/>
      <c r="E1" s="21"/>
      <c r="F1" s="21"/>
      <c r="G1" s="21"/>
      <c r="H1" s="21"/>
    </row>
    <row r="3" spans="1:8" x14ac:dyDescent="0.35">
      <c r="A3" s="24" t="s">
        <v>8</v>
      </c>
      <c r="B3" s="21"/>
      <c r="C3" s="21"/>
      <c r="D3" s="21"/>
      <c r="E3" s="21"/>
      <c r="F3" s="21"/>
      <c r="G3" s="21"/>
      <c r="H3" s="21"/>
    </row>
    <row r="4" spans="1:8" ht="60" customHeight="1" x14ac:dyDescent="0.35">
      <c r="A4" s="1" t="s">
        <v>9</v>
      </c>
      <c r="B4" s="2">
        <v>40</v>
      </c>
    </row>
    <row r="5" spans="1:8" ht="30" customHeight="1" x14ac:dyDescent="0.35">
      <c r="A5" s="1" t="s">
        <v>10</v>
      </c>
      <c r="B5" s="2">
        <f>B4-3</f>
        <v>37</v>
      </c>
    </row>
    <row r="6" spans="1:8" ht="30" customHeight="1" x14ac:dyDescent="0.35">
      <c r="A6" s="1" t="s">
        <v>11</v>
      </c>
      <c r="B6" s="3">
        <v>100</v>
      </c>
    </row>
    <row r="9" spans="1:8" ht="24" customHeight="1" x14ac:dyDescent="0.35">
      <c r="A9" s="4" t="s">
        <v>12</v>
      </c>
      <c r="B9" s="4" t="s">
        <v>13</v>
      </c>
      <c r="C9" s="4" t="s">
        <v>14</v>
      </c>
      <c r="D9" s="4" t="s">
        <v>15</v>
      </c>
      <c r="E9" s="4" t="s">
        <v>16</v>
      </c>
      <c r="F9" s="4" t="s">
        <v>17</v>
      </c>
      <c r="G9" s="4" t="s">
        <v>18</v>
      </c>
      <c r="H9" s="4" t="s">
        <v>19</v>
      </c>
    </row>
    <row r="10" spans="1:8" x14ac:dyDescent="0.35">
      <c r="A10" s="5">
        <v>1</v>
      </c>
      <c r="B10" s="6">
        <v>0.24</v>
      </c>
      <c r="C10" s="6">
        <v>24</v>
      </c>
      <c r="D10" s="17">
        <f>IF(OR(B10="",C10=""),"",C10/B10)</f>
        <v>100</v>
      </c>
      <c r="E10" s="17">
        <f t="shared" ref="E10:E30" si="0">IF(D10="","",20*LOG10(ABS(D10)))</f>
        <v>40</v>
      </c>
      <c r="F10" s="7" t="str">
        <f t="shared" ref="F10:F30" si="1">IF(E10="","",IF(E10&lt;=$B$5,"YES","NO"))</f>
        <v>NO</v>
      </c>
      <c r="G10" s="8"/>
      <c r="H10" s="7"/>
    </row>
    <row r="11" spans="1:8" x14ac:dyDescent="0.35">
      <c r="A11" s="5">
        <v>3</v>
      </c>
      <c r="B11" s="6">
        <v>0.23799999999999999</v>
      </c>
      <c r="C11" s="6">
        <v>24</v>
      </c>
      <c r="D11" s="17">
        <f t="shared" ref="D11:D30" si="2">IF(OR(B11="",C11=""),"",C11/B11)</f>
        <v>100.84033613445379</v>
      </c>
      <c r="E11" s="17">
        <f t="shared" si="0"/>
        <v>40.072685693101882</v>
      </c>
      <c r="F11" s="7" t="str">
        <f t="shared" si="1"/>
        <v>NO</v>
      </c>
      <c r="G11" s="8"/>
      <c r="H11" s="7"/>
    </row>
    <row r="12" spans="1:8" x14ac:dyDescent="0.35">
      <c r="A12" s="5">
        <v>5</v>
      </c>
      <c r="B12" s="6">
        <v>0.23799999999999999</v>
      </c>
      <c r="C12" s="6">
        <v>24</v>
      </c>
      <c r="D12" s="17">
        <f t="shared" si="2"/>
        <v>100.84033613445379</v>
      </c>
      <c r="E12" s="17">
        <f t="shared" si="0"/>
        <v>40.072685693101882</v>
      </c>
      <c r="F12" s="7" t="str">
        <f t="shared" si="1"/>
        <v>NO</v>
      </c>
      <c r="G12" s="8"/>
      <c r="H12" s="7"/>
    </row>
    <row r="13" spans="1:8" x14ac:dyDescent="0.35">
      <c r="A13" s="5">
        <v>10</v>
      </c>
      <c r="B13" s="6">
        <v>0.23799999999999999</v>
      </c>
      <c r="C13" s="6">
        <v>24</v>
      </c>
      <c r="D13" s="17">
        <f t="shared" si="2"/>
        <v>100.84033613445379</v>
      </c>
      <c r="E13" s="17">
        <f t="shared" si="0"/>
        <v>40.072685693101882</v>
      </c>
      <c r="F13" s="7" t="str">
        <f t="shared" si="1"/>
        <v>NO</v>
      </c>
      <c r="G13" s="8"/>
      <c r="H13" s="7"/>
    </row>
    <row r="14" spans="1:8" x14ac:dyDescent="0.35">
      <c r="A14" s="5">
        <v>30</v>
      </c>
      <c r="B14" s="6">
        <v>0.23799999999999999</v>
      </c>
      <c r="C14" s="6">
        <v>24</v>
      </c>
      <c r="D14" s="17">
        <f t="shared" si="2"/>
        <v>100.84033613445379</v>
      </c>
      <c r="E14" s="17">
        <f t="shared" si="0"/>
        <v>40.072685693101882</v>
      </c>
      <c r="F14" s="7" t="str">
        <f t="shared" si="1"/>
        <v>NO</v>
      </c>
      <c r="G14" s="8"/>
      <c r="H14" s="7"/>
    </row>
    <row r="15" spans="1:8" x14ac:dyDescent="0.35">
      <c r="A15" s="5">
        <v>50</v>
      </c>
      <c r="B15" s="6">
        <v>0.23799999999999999</v>
      </c>
      <c r="C15" s="6">
        <v>24</v>
      </c>
      <c r="D15" s="17">
        <f t="shared" si="2"/>
        <v>100.84033613445379</v>
      </c>
      <c r="E15" s="17">
        <f t="shared" si="0"/>
        <v>40.072685693101882</v>
      </c>
      <c r="F15" s="7" t="str">
        <f t="shared" si="1"/>
        <v>NO</v>
      </c>
      <c r="G15" s="8"/>
      <c r="H15" s="7"/>
    </row>
    <row r="16" spans="1:8" x14ac:dyDescent="0.35">
      <c r="A16" s="5">
        <v>100</v>
      </c>
      <c r="B16" s="6">
        <v>0.23799999999999999</v>
      </c>
      <c r="C16" s="6">
        <v>24</v>
      </c>
      <c r="D16" s="17">
        <f t="shared" si="2"/>
        <v>100.84033613445379</v>
      </c>
      <c r="E16" s="17">
        <f t="shared" si="0"/>
        <v>40.072685693101882</v>
      </c>
      <c r="F16" s="7" t="str">
        <f t="shared" si="1"/>
        <v>NO</v>
      </c>
      <c r="G16" s="8"/>
      <c r="H16" s="7"/>
    </row>
    <row r="17" spans="1:8" x14ac:dyDescent="0.35">
      <c r="A17" s="5">
        <v>300</v>
      </c>
      <c r="B17" s="6">
        <v>0.23799999999999999</v>
      </c>
      <c r="C17" s="6">
        <v>24</v>
      </c>
      <c r="D17" s="17">
        <f t="shared" si="2"/>
        <v>100.84033613445379</v>
      </c>
      <c r="E17" s="17">
        <f t="shared" si="0"/>
        <v>40.072685693101882</v>
      </c>
      <c r="F17" s="7" t="str">
        <f t="shared" si="1"/>
        <v>NO</v>
      </c>
      <c r="G17" s="8"/>
      <c r="H17" s="7"/>
    </row>
    <row r="18" spans="1:8" x14ac:dyDescent="0.35">
      <c r="A18" s="5">
        <v>500</v>
      </c>
      <c r="B18" s="6">
        <v>0.23599999999999999</v>
      </c>
      <c r="C18" s="6">
        <v>24</v>
      </c>
      <c r="D18" s="17">
        <f t="shared" si="2"/>
        <v>101.69491525423729</v>
      </c>
      <c r="E18" s="17">
        <f t="shared" si="0"/>
        <v>40.145984774829991</v>
      </c>
      <c r="F18" s="7" t="str">
        <f t="shared" si="1"/>
        <v>NO</v>
      </c>
      <c r="G18" s="8"/>
      <c r="H18" s="7"/>
    </row>
    <row r="19" spans="1:8" x14ac:dyDescent="0.35">
      <c r="A19" s="5">
        <v>1000</v>
      </c>
      <c r="B19" s="13">
        <v>0.23599999999999999</v>
      </c>
      <c r="C19" s="13">
        <v>24</v>
      </c>
      <c r="D19" s="17">
        <f t="shared" si="2"/>
        <v>101.69491525423729</v>
      </c>
      <c r="E19" s="17">
        <f t="shared" si="0"/>
        <v>40.145984774829991</v>
      </c>
      <c r="F19" s="7" t="str">
        <f t="shared" si="1"/>
        <v>NO</v>
      </c>
      <c r="G19" s="8"/>
      <c r="H19" s="7"/>
    </row>
    <row r="20" spans="1:8" x14ac:dyDescent="0.35">
      <c r="A20" s="5">
        <v>3000</v>
      </c>
      <c r="B20" s="6">
        <v>0.24199999999999999</v>
      </c>
      <c r="C20" s="6">
        <v>24.2</v>
      </c>
      <c r="D20" s="17">
        <f t="shared" si="2"/>
        <v>100</v>
      </c>
      <c r="E20" s="17">
        <f t="shared" si="0"/>
        <v>40</v>
      </c>
      <c r="F20" s="7" t="str">
        <f t="shared" si="1"/>
        <v>NO</v>
      </c>
      <c r="G20" s="8"/>
      <c r="H20" s="7"/>
    </row>
    <row r="21" spans="1:8" x14ac:dyDescent="0.35">
      <c r="A21" s="5">
        <v>5000</v>
      </c>
      <c r="B21" s="6">
        <v>0.24199999999999999</v>
      </c>
      <c r="C21" s="6">
        <v>23.8</v>
      </c>
      <c r="D21" s="17">
        <f t="shared" si="2"/>
        <v>98.347107438016536</v>
      </c>
      <c r="E21" s="17">
        <f t="shared" si="0"/>
        <v>39.855231821521613</v>
      </c>
      <c r="F21" s="7" t="str">
        <f t="shared" si="1"/>
        <v>NO</v>
      </c>
      <c r="G21" s="8"/>
      <c r="H21" s="7"/>
    </row>
    <row r="22" spans="1:8" x14ac:dyDescent="0.35">
      <c r="A22" s="5">
        <v>10000</v>
      </c>
      <c r="B22" s="13">
        <v>0.24399999999999999</v>
      </c>
      <c r="C22" s="13">
        <v>22.4</v>
      </c>
      <c r="D22" s="19">
        <f t="shared" si="2"/>
        <v>91.803278688524586</v>
      </c>
      <c r="E22" s="19">
        <f t="shared" si="0"/>
        <v>39.257163839908664</v>
      </c>
      <c r="F22" s="14" t="str">
        <f t="shared" si="1"/>
        <v>NO</v>
      </c>
      <c r="G22" s="14"/>
      <c r="H22" s="14"/>
    </row>
    <row r="23" spans="1:8" x14ac:dyDescent="0.35">
      <c r="A23" s="5">
        <v>20000</v>
      </c>
      <c r="B23" s="6">
        <v>0.246</v>
      </c>
      <c r="C23" s="6">
        <v>18.600000000000001</v>
      </c>
      <c r="D23" s="17">
        <f t="shared" si="2"/>
        <v>75.609756097560989</v>
      </c>
      <c r="E23" s="17">
        <f t="shared" si="0"/>
        <v>37.571556742290745</v>
      </c>
      <c r="F23" s="7" t="str">
        <f t="shared" si="1"/>
        <v>NO</v>
      </c>
      <c r="G23" s="8"/>
      <c r="H23" s="7"/>
    </row>
    <row r="24" spans="1:8" x14ac:dyDescent="0.35">
      <c r="A24" s="5">
        <v>30000</v>
      </c>
      <c r="B24" s="6">
        <v>0.248</v>
      </c>
      <c r="C24" s="6">
        <v>15.2</v>
      </c>
      <c r="D24" s="17">
        <f t="shared" si="2"/>
        <v>61.29032258064516</v>
      </c>
      <c r="E24" s="17">
        <f t="shared" si="0"/>
        <v>35.747838142371123</v>
      </c>
      <c r="F24" s="7" t="str">
        <f t="shared" si="1"/>
        <v>YES</v>
      </c>
      <c r="G24" s="8"/>
      <c r="H24" s="7"/>
    </row>
    <row r="25" spans="1:8" x14ac:dyDescent="0.35">
      <c r="A25" s="5">
        <v>50000</v>
      </c>
      <c r="B25" s="6">
        <v>0.25</v>
      </c>
      <c r="C25" s="6">
        <v>10.4</v>
      </c>
      <c r="D25" s="17">
        <f t="shared" si="2"/>
        <v>41.6</v>
      </c>
      <c r="E25" s="17">
        <f t="shared" si="0"/>
        <v>32.381866612534857</v>
      </c>
      <c r="F25" s="7" t="str">
        <f t="shared" si="1"/>
        <v>YES</v>
      </c>
      <c r="G25" s="8"/>
      <c r="H25" s="7"/>
    </row>
    <row r="26" spans="1:8" x14ac:dyDescent="0.35">
      <c r="A26" s="5">
        <v>100000</v>
      </c>
      <c r="B26" s="6">
        <v>0.252</v>
      </c>
      <c r="C26" s="6">
        <v>6</v>
      </c>
      <c r="D26" s="17">
        <f t="shared" si="2"/>
        <v>23.80952380952381</v>
      </c>
      <c r="E26" s="17">
        <f t="shared" si="0"/>
        <v>27.535014192041988</v>
      </c>
      <c r="F26" s="7" t="str">
        <f t="shared" si="1"/>
        <v>YES</v>
      </c>
      <c r="G26" s="8"/>
      <c r="H26" s="7"/>
    </row>
    <row r="27" spans="1:8" x14ac:dyDescent="0.35">
      <c r="A27" s="5">
        <v>200000</v>
      </c>
      <c r="B27" s="6">
        <v>0.252</v>
      </c>
      <c r="C27" s="6">
        <v>3.2</v>
      </c>
      <c r="D27" s="17">
        <f t="shared" si="2"/>
        <v>12.698412698412699</v>
      </c>
      <c r="E27" s="17">
        <f t="shared" si="0"/>
        <v>22.074988750767236</v>
      </c>
      <c r="F27" s="7" t="str">
        <f t="shared" si="1"/>
        <v>YES</v>
      </c>
      <c r="G27" s="8"/>
      <c r="H27" s="7"/>
    </row>
    <row r="28" spans="1:8" x14ac:dyDescent="0.35">
      <c r="A28" s="5">
        <v>300000</v>
      </c>
      <c r="B28" s="6">
        <v>0.252</v>
      </c>
      <c r="C28" s="6">
        <v>2.4</v>
      </c>
      <c r="D28" s="17">
        <f t="shared" si="2"/>
        <v>9.5238095238095237</v>
      </c>
      <c r="E28" s="17">
        <f t="shared" si="0"/>
        <v>19.576214018601238</v>
      </c>
      <c r="F28" s="7" t="str">
        <f t="shared" si="1"/>
        <v>YES</v>
      </c>
      <c r="G28" s="8"/>
      <c r="H28" s="7"/>
    </row>
    <row r="29" spans="1:8" x14ac:dyDescent="0.35">
      <c r="A29" s="5">
        <v>500000</v>
      </c>
      <c r="B29" s="6">
        <v>0.25</v>
      </c>
      <c r="C29" s="6">
        <v>1.6</v>
      </c>
      <c r="D29" s="17">
        <f t="shared" si="2"/>
        <v>6.4</v>
      </c>
      <c r="E29" s="17">
        <f t="shared" si="0"/>
        <v>16.123599479677743</v>
      </c>
      <c r="F29" s="7" t="str">
        <f t="shared" si="1"/>
        <v>YES</v>
      </c>
      <c r="G29" s="8"/>
      <c r="H29" s="7"/>
    </row>
    <row r="30" spans="1:8" x14ac:dyDescent="0.35">
      <c r="A30" s="5">
        <v>1000000</v>
      </c>
      <c r="B30" s="6">
        <v>0.246</v>
      </c>
      <c r="C30" s="6">
        <v>1.2</v>
      </c>
      <c r="D30" s="17">
        <f t="shared" si="2"/>
        <v>4.8780487804878048</v>
      </c>
      <c r="E30" s="17">
        <f t="shared" si="0"/>
        <v>13.764922778884914</v>
      </c>
      <c r="F30" s="7" t="str">
        <f t="shared" si="1"/>
        <v>YES</v>
      </c>
      <c r="G30" s="8"/>
      <c r="H30" s="7"/>
    </row>
    <row r="33" spans="1:2" x14ac:dyDescent="0.35">
      <c r="A33" s="12" t="s">
        <v>20</v>
      </c>
    </row>
    <row r="34" spans="1:2" ht="29" x14ac:dyDescent="0.35">
      <c r="A34" s="1" t="s">
        <v>21</v>
      </c>
      <c r="B34" s="3"/>
    </row>
    <row r="35" spans="1:2" ht="29" x14ac:dyDescent="0.35">
      <c r="A35" s="1" t="s">
        <v>22</v>
      </c>
      <c r="B35" s="3">
        <f>IF(B20="","",$B$6*B20)</f>
        <v>24.2</v>
      </c>
    </row>
    <row r="36" spans="1:2" ht="116" x14ac:dyDescent="0.35">
      <c r="A36" s="1" t="s">
        <v>23</v>
      </c>
      <c r="B36" s="1" t="s">
        <v>26</v>
      </c>
    </row>
  </sheetData>
  <mergeCells count="2">
    <mergeCell ref="A3:H3"/>
    <mergeCell ref="A1:H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8"/>
  <sheetViews>
    <sheetView tabSelected="1" workbookViewId="0">
      <selection activeCell="O23" sqref="O23"/>
    </sheetView>
  </sheetViews>
  <sheetFormatPr defaultRowHeight="14.5" x14ac:dyDescent="0.35"/>
  <cols>
    <col min="1" max="1" width="10.26953125" bestFit="1" customWidth="1"/>
    <col min="2" max="2" width="11.26953125" bestFit="1" customWidth="1"/>
    <col min="3" max="3" width="12.26953125" bestFit="1" customWidth="1"/>
  </cols>
  <sheetData>
    <row r="1" spans="1:8" x14ac:dyDescent="0.35">
      <c r="A1" s="22" t="s">
        <v>27</v>
      </c>
      <c r="B1" s="21"/>
      <c r="C1" s="21"/>
      <c r="D1" s="21"/>
      <c r="E1" s="21"/>
      <c r="F1" s="21"/>
      <c r="G1" s="21"/>
      <c r="H1" s="21"/>
    </row>
    <row r="3" spans="1:8" ht="43.5" x14ac:dyDescent="0.35">
      <c r="A3" s="4" t="s">
        <v>12</v>
      </c>
      <c r="B3" s="4" t="s">
        <v>13</v>
      </c>
      <c r="C3" s="4" t="s">
        <v>14</v>
      </c>
      <c r="D3" s="4" t="s">
        <v>15</v>
      </c>
      <c r="E3" s="4" t="s">
        <v>41</v>
      </c>
      <c r="F3" s="4" t="s">
        <v>17</v>
      </c>
      <c r="G3" s="4" t="s">
        <v>18</v>
      </c>
      <c r="H3" s="4" t="s">
        <v>19</v>
      </c>
    </row>
    <row r="4" spans="1:8" x14ac:dyDescent="0.35">
      <c r="A4" s="5">
        <v>1</v>
      </c>
      <c r="B4" s="6">
        <v>0.24</v>
      </c>
      <c r="C4" s="6">
        <v>2.4</v>
      </c>
      <c r="D4" s="17">
        <f t="shared" ref="D4:D24" si="0">IF(OR(B4="",C4=""),"",C4/B4)</f>
        <v>10</v>
      </c>
      <c r="E4" s="17">
        <f t="shared" ref="E4:E24" si="1">IF(D4="","",20*LOG10(ABS(D4)))</f>
        <v>20</v>
      </c>
      <c r="F4" s="7" t="str">
        <f t="shared" ref="F4:F24" si="2">IF(E4="","",IF(E4&lt;=$B$5,"YES","NO"))</f>
        <v>NO</v>
      </c>
      <c r="G4" s="8"/>
      <c r="H4" s="7"/>
    </row>
    <row r="5" spans="1:8" x14ac:dyDescent="0.35">
      <c r="A5" s="5">
        <v>3</v>
      </c>
      <c r="B5" s="6">
        <v>0.24</v>
      </c>
      <c r="C5" s="6">
        <v>2.4</v>
      </c>
      <c r="D5" s="17">
        <f t="shared" si="0"/>
        <v>10</v>
      </c>
      <c r="E5" s="17">
        <f t="shared" si="1"/>
        <v>20</v>
      </c>
      <c r="F5" s="7" t="str">
        <f t="shared" si="2"/>
        <v>NO</v>
      </c>
      <c r="G5" s="8"/>
      <c r="H5" s="7"/>
    </row>
    <row r="6" spans="1:8" x14ac:dyDescent="0.35">
      <c r="A6" s="5">
        <v>5</v>
      </c>
      <c r="B6" s="6">
        <v>0.24</v>
      </c>
      <c r="C6" s="6">
        <v>2.4</v>
      </c>
      <c r="D6" s="17">
        <f t="shared" si="0"/>
        <v>10</v>
      </c>
      <c r="E6" s="17">
        <f t="shared" si="1"/>
        <v>20</v>
      </c>
      <c r="F6" s="7" t="str">
        <f t="shared" si="2"/>
        <v>NO</v>
      </c>
      <c r="G6" s="8"/>
      <c r="H6" s="7"/>
    </row>
    <row r="7" spans="1:8" x14ac:dyDescent="0.35">
      <c r="A7" s="5">
        <v>10</v>
      </c>
      <c r="B7" s="6">
        <v>0.23799999999999999</v>
      </c>
      <c r="C7" s="6">
        <v>2.42</v>
      </c>
      <c r="D7" s="17">
        <f t="shared" si="0"/>
        <v>10.168067226890756</v>
      </c>
      <c r="E7" s="17">
        <f t="shared" si="1"/>
        <v>20.144768178478387</v>
      </c>
      <c r="F7" s="7" t="str">
        <f t="shared" si="2"/>
        <v>NO</v>
      </c>
      <c r="G7" s="8"/>
      <c r="H7" s="7"/>
    </row>
    <row r="8" spans="1:8" x14ac:dyDescent="0.35">
      <c r="A8" s="5">
        <v>30</v>
      </c>
      <c r="B8" s="6">
        <v>0.23799999999999999</v>
      </c>
      <c r="C8" s="6">
        <v>2.42</v>
      </c>
      <c r="D8" s="17">
        <f t="shared" si="0"/>
        <v>10.168067226890756</v>
      </c>
      <c r="E8" s="17">
        <f t="shared" si="1"/>
        <v>20.144768178478387</v>
      </c>
      <c r="F8" s="7" t="str">
        <f t="shared" si="2"/>
        <v>NO</v>
      </c>
      <c r="G8" s="8"/>
      <c r="H8" s="7"/>
    </row>
    <row r="9" spans="1:8" x14ac:dyDescent="0.35">
      <c r="A9" s="5">
        <v>50</v>
      </c>
      <c r="B9" s="6">
        <v>0.23799999999999999</v>
      </c>
      <c r="C9" s="6">
        <v>2.42</v>
      </c>
      <c r="D9" s="17">
        <f t="shared" si="0"/>
        <v>10.168067226890756</v>
      </c>
      <c r="E9" s="17">
        <f t="shared" si="1"/>
        <v>20.144768178478387</v>
      </c>
      <c r="F9" s="7" t="str">
        <f t="shared" si="2"/>
        <v>NO</v>
      </c>
      <c r="G9" s="8"/>
      <c r="H9" s="7"/>
    </row>
    <row r="10" spans="1:8" x14ac:dyDescent="0.35">
      <c r="A10" s="5">
        <v>100</v>
      </c>
      <c r="B10" s="6">
        <v>0.23799999999999999</v>
      </c>
      <c r="C10" s="6">
        <v>2.44</v>
      </c>
      <c r="D10" s="17">
        <f t="shared" si="0"/>
        <v>10.252100840336135</v>
      </c>
      <c r="E10" s="17">
        <f t="shared" si="1"/>
        <v>20.216257385644351</v>
      </c>
      <c r="F10" s="7" t="str">
        <f t="shared" si="2"/>
        <v>NO</v>
      </c>
      <c r="G10" s="8"/>
      <c r="H10" s="7"/>
    </row>
    <row r="11" spans="1:8" x14ac:dyDescent="0.35">
      <c r="A11" s="5">
        <v>300</v>
      </c>
      <c r="B11" s="6">
        <v>0.23799999999999999</v>
      </c>
      <c r="C11" s="6">
        <v>2.44</v>
      </c>
      <c r="D11" s="17">
        <f t="shared" si="0"/>
        <v>10.252100840336135</v>
      </c>
      <c r="E11" s="17">
        <f t="shared" si="1"/>
        <v>20.216257385644351</v>
      </c>
      <c r="F11" s="7" t="str">
        <f t="shared" si="2"/>
        <v>NO</v>
      </c>
      <c r="G11" s="8"/>
      <c r="H11" s="7"/>
    </row>
    <row r="12" spans="1:8" x14ac:dyDescent="0.35">
      <c r="A12" s="5">
        <v>500</v>
      </c>
      <c r="B12" s="6">
        <v>0.23799999999999999</v>
      </c>
      <c r="C12" s="6">
        <v>2.44</v>
      </c>
      <c r="D12" s="17">
        <f t="shared" si="0"/>
        <v>10.252100840336135</v>
      </c>
      <c r="E12" s="17">
        <f t="shared" si="1"/>
        <v>20.216257385644351</v>
      </c>
      <c r="F12" s="7" t="str">
        <f t="shared" si="2"/>
        <v>NO</v>
      </c>
      <c r="G12" s="8"/>
      <c r="H12" s="7"/>
    </row>
    <row r="13" spans="1:8" x14ac:dyDescent="0.35">
      <c r="A13" s="5">
        <v>1000</v>
      </c>
      <c r="B13" s="13">
        <v>0.23799999999999999</v>
      </c>
      <c r="C13" s="13">
        <v>2.44</v>
      </c>
      <c r="D13" s="17">
        <f t="shared" si="0"/>
        <v>10.252100840336135</v>
      </c>
      <c r="E13" s="17">
        <f t="shared" si="1"/>
        <v>20.216257385644351</v>
      </c>
      <c r="F13" s="7" t="str">
        <f t="shared" si="2"/>
        <v>NO</v>
      </c>
      <c r="G13" s="8"/>
      <c r="H13" s="7"/>
    </row>
    <row r="14" spans="1:8" x14ac:dyDescent="0.35">
      <c r="A14" s="5">
        <v>3000</v>
      </c>
      <c r="B14" s="6">
        <v>0.24</v>
      </c>
      <c r="C14" s="6">
        <v>2.46</v>
      </c>
      <c r="D14" s="17">
        <f t="shared" si="0"/>
        <v>10.25</v>
      </c>
      <c r="E14" s="17">
        <f t="shared" si="1"/>
        <v>20.214477307835462</v>
      </c>
      <c r="F14" s="7" t="str">
        <f t="shared" si="2"/>
        <v>NO</v>
      </c>
      <c r="G14" s="8"/>
      <c r="H14" s="7"/>
    </row>
    <row r="15" spans="1:8" x14ac:dyDescent="0.35">
      <c r="A15" s="5">
        <v>5000</v>
      </c>
      <c r="B15" s="6">
        <v>0.24199999999999999</v>
      </c>
      <c r="C15" s="6">
        <v>2.46</v>
      </c>
      <c r="D15" s="17">
        <f t="shared" si="0"/>
        <v>10.165289256198347</v>
      </c>
      <c r="E15" s="17">
        <f t="shared" si="1"/>
        <v>20.142394822458954</v>
      </c>
      <c r="F15" s="7" t="str">
        <f t="shared" si="2"/>
        <v>NO</v>
      </c>
      <c r="G15" s="8"/>
      <c r="H15" s="7"/>
    </row>
    <row r="16" spans="1:8" x14ac:dyDescent="0.35">
      <c r="A16" s="5">
        <v>10000</v>
      </c>
      <c r="B16" s="15">
        <v>0.24199999999999999</v>
      </c>
      <c r="C16" s="15">
        <v>2.46</v>
      </c>
      <c r="D16" s="18">
        <f t="shared" si="0"/>
        <v>10.165289256198347</v>
      </c>
      <c r="E16" s="18">
        <f t="shared" si="1"/>
        <v>20.142394822458954</v>
      </c>
      <c r="F16" s="16" t="str">
        <f t="shared" si="2"/>
        <v>NO</v>
      </c>
      <c r="G16" s="16"/>
      <c r="H16" s="16"/>
    </row>
    <row r="17" spans="1:8" x14ac:dyDescent="0.35">
      <c r="A17" s="5">
        <v>20000</v>
      </c>
      <c r="B17" s="6">
        <v>0.24199999999999999</v>
      </c>
      <c r="C17" s="6">
        <v>2.46</v>
      </c>
      <c r="D17" s="17">
        <f t="shared" si="0"/>
        <v>10.165289256198347</v>
      </c>
      <c r="E17" s="17">
        <f t="shared" si="1"/>
        <v>20.142394822458954</v>
      </c>
      <c r="F17" s="7" t="str">
        <f t="shared" si="2"/>
        <v>NO</v>
      </c>
      <c r="G17" s="8"/>
      <c r="H17" s="7"/>
    </row>
    <row r="18" spans="1:8" x14ac:dyDescent="0.35">
      <c r="A18" s="5">
        <v>30000</v>
      </c>
      <c r="B18" s="6">
        <v>0.24399999999999999</v>
      </c>
      <c r="C18" s="6">
        <v>2.44</v>
      </c>
      <c r="D18" s="17">
        <f t="shared" si="0"/>
        <v>10</v>
      </c>
      <c r="E18" s="17">
        <f t="shared" si="1"/>
        <v>20</v>
      </c>
      <c r="F18" s="7" t="str">
        <f t="shared" si="2"/>
        <v>NO</v>
      </c>
      <c r="G18" s="8"/>
      <c r="H18" s="7"/>
    </row>
    <row r="19" spans="1:8" x14ac:dyDescent="0.35">
      <c r="A19" s="5">
        <v>50000</v>
      </c>
      <c r="B19" s="6">
        <v>0.24</v>
      </c>
      <c r="C19" s="6">
        <v>2.38</v>
      </c>
      <c r="D19" s="17">
        <f t="shared" si="0"/>
        <v>9.9166666666666661</v>
      </c>
      <c r="E19" s="17">
        <f t="shared" si="1"/>
        <v>19.927314306898118</v>
      </c>
      <c r="F19" s="7" t="str">
        <f t="shared" si="2"/>
        <v>NO</v>
      </c>
      <c r="G19" s="8"/>
      <c r="H19" s="7"/>
    </row>
    <row r="20" spans="1:8" x14ac:dyDescent="0.35">
      <c r="A20" s="5">
        <v>100000</v>
      </c>
      <c r="B20" s="6">
        <v>0.24199999999999999</v>
      </c>
      <c r="C20" s="6">
        <v>2.2400000000000002</v>
      </c>
      <c r="D20" s="17">
        <f t="shared" si="0"/>
        <v>9.2561983471074392</v>
      </c>
      <c r="E20" s="17">
        <f t="shared" si="1"/>
        <v>19.328653047074631</v>
      </c>
      <c r="F20" s="7" t="str">
        <f t="shared" si="2"/>
        <v>NO</v>
      </c>
      <c r="G20" s="8"/>
      <c r="H20" s="7"/>
    </row>
    <row r="21" spans="1:8" x14ac:dyDescent="0.35">
      <c r="A21" s="5">
        <v>200000</v>
      </c>
      <c r="B21" s="6">
        <v>0.246</v>
      </c>
      <c r="C21" s="6">
        <v>1.86</v>
      </c>
      <c r="D21" s="17">
        <f t="shared" si="0"/>
        <v>7.5609756097560981</v>
      </c>
      <c r="E21" s="17">
        <f t="shared" si="1"/>
        <v>17.571556742290745</v>
      </c>
      <c r="F21" s="7" t="str">
        <f t="shared" si="2"/>
        <v>NO</v>
      </c>
      <c r="G21" s="8"/>
      <c r="H21" s="7"/>
    </row>
    <row r="22" spans="1:8" x14ac:dyDescent="0.35">
      <c r="A22" s="5">
        <v>300000</v>
      </c>
      <c r="B22" s="6">
        <v>0.248</v>
      </c>
      <c r="C22" s="6">
        <v>1.52</v>
      </c>
      <c r="D22" s="17">
        <f t="shared" si="0"/>
        <v>6.129032258064516</v>
      </c>
      <c r="E22" s="17">
        <f t="shared" si="1"/>
        <v>15.747838142371124</v>
      </c>
      <c r="F22" s="7" t="str">
        <f t="shared" si="2"/>
        <v>NO</v>
      </c>
      <c r="G22" s="8"/>
      <c r="H22" s="7"/>
    </row>
    <row r="23" spans="1:8" x14ac:dyDescent="0.35">
      <c r="A23" s="5">
        <v>500000</v>
      </c>
      <c r="B23" s="6">
        <v>0.248</v>
      </c>
      <c r="C23" s="6">
        <v>1.02</v>
      </c>
      <c r="D23" s="17">
        <f t="shared" si="0"/>
        <v>4.112903225806452</v>
      </c>
      <c r="E23" s="17">
        <f t="shared" si="1"/>
        <v>12.282969818714026</v>
      </c>
      <c r="F23" s="7" t="str">
        <f t="shared" si="2"/>
        <v>NO</v>
      </c>
      <c r="G23" s="8"/>
      <c r="H23" s="7"/>
    </row>
    <row r="24" spans="1:8" x14ac:dyDescent="0.35">
      <c r="A24" s="5">
        <v>1000000</v>
      </c>
      <c r="B24" s="6">
        <v>0.246</v>
      </c>
      <c r="C24" s="6">
        <v>0.54</v>
      </c>
      <c r="D24" s="17">
        <f t="shared" si="0"/>
        <v>2.1951219512195124</v>
      </c>
      <c r="E24" s="17">
        <f t="shared" si="1"/>
        <v>6.8291730543917879</v>
      </c>
      <c r="F24" s="7" t="str">
        <f t="shared" si="2"/>
        <v>NO</v>
      </c>
      <c r="G24" s="8"/>
      <c r="H24" s="7"/>
    </row>
    <row r="27" spans="1:8" ht="43.5" x14ac:dyDescent="0.35">
      <c r="A27" s="4" t="s">
        <v>12</v>
      </c>
      <c r="B27" s="4" t="s">
        <v>13</v>
      </c>
      <c r="C27" s="4" t="s">
        <v>14</v>
      </c>
      <c r="D27" s="4" t="s">
        <v>15</v>
      </c>
      <c r="E27" s="4" t="s">
        <v>42</v>
      </c>
      <c r="F27" s="4" t="s">
        <v>17</v>
      </c>
      <c r="G27" s="4" t="s">
        <v>18</v>
      </c>
      <c r="H27" s="4" t="s">
        <v>19</v>
      </c>
    </row>
    <row r="28" spans="1:8" x14ac:dyDescent="0.35">
      <c r="A28" s="5">
        <v>1</v>
      </c>
      <c r="B28" s="6">
        <v>0.24</v>
      </c>
      <c r="C28" s="6">
        <v>24</v>
      </c>
      <c r="D28" s="17">
        <f>IF(OR(B28="",C28=""),"",C28/B28)</f>
        <v>100</v>
      </c>
      <c r="E28" s="17">
        <f t="shared" ref="E28:E48" si="3">IF(D28="","",20*LOG10(ABS(D28)))</f>
        <v>40</v>
      </c>
      <c r="F28" s="7" t="str">
        <f t="shared" ref="F28:F48" si="4">IF(E28="","",IF(E28&lt;=$B$5,"YES","NO"))</f>
        <v>NO</v>
      </c>
      <c r="G28" s="8"/>
      <c r="H28" s="7"/>
    </row>
    <row r="29" spans="1:8" x14ac:dyDescent="0.35">
      <c r="A29" s="5">
        <v>3</v>
      </c>
      <c r="B29" s="6">
        <v>0.23799999999999999</v>
      </c>
      <c r="C29" s="6">
        <v>24</v>
      </c>
      <c r="D29" s="17">
        <f t="shared" ref="D29:D48" si="5">IF(OR(B29="",C29=""),"",C29/B29)</f>
        <v>100.84033613445379</v>
      </c>
      <c r="E29" s="17">
        <f t="shared" si="3"/>
        <v>40.072685693101882</v>
      </c>
      <c r="F29" s="7" t="str">
        <f t="shared" si="4"/>
        <v>NO</v>
      </c>
      <c r="G29" s="8"/>
      <c r="H29" s="7"/>
    </row>
    <row r="30" spans="1:8" x14ac:dyDescent="0.35">
      <c r="A30" s="5">
        <v>5</v>
      </c>
      <c r="B30" s="6">
        <v>0.23799999999999999</v>
      </c>
      <c r="C30" s="6">
        <v>24</v>
      </c>
      <c r="D30" s="17">
        <f t="shared" si="5"/>
        <v>100.84033613445379</v>
      </c>
      <c r="E30" s="17">
        <f t="shared" si="3"/>
        <v>40.072685693101882</v>
      </c>
      <c r="F30" s="7" t="str">
        <f t="shared" si="4"/>
        <v>NO</v>
      </c>
      <c r="G30" s="8"/>
      <c r="H30" s="7"/>
    </row>
    <row r="31" spans="1:8" x14ac:dyDescent="0.35">
      <c r="A31" s="5">
        <v>10</v>
      </c>
      <c r="B31" s="6">
        <v>0.23799999999999999</v>
      </c>
      <c r="C31" s="6">
        <v>24</v>
      </c>
      <c r="D31" s="17">
        <f t="shared" si="5"/>
        <v>100.84033613445379</v>
      </c>
      <c r="E31" s="17">
        <f t="shared" si="3"/>
        <v>40.072685693101882</v>
      </c>
      <c r="F31" s="7" t="str">
        <f t="shared" si="4"/>
        <v>NO</v>
      </c>
      <c r="G31" s="8"/>
      <c r="H31" s="7"/>
    </row>
    <row r="32" spans="1:8" x14ac:dyDescent="0.35">
      <c r="A32" s="5">
        <v>30</v>
      </c>
      <c r="B32" s="6">
        <v>0.23799999999999999</v>
      </c>
      <c r="C32" s="6">
        <v>24</v>
      </c>
      <c r="D32" s="17">
        <f t="shared" si="5"/>
        <v>100.84033613445379</v>
      </c>
      <c r="E32" s="17">
        <f t="shared" si="3"/>
        <v>40.072685693101882</v>
      </c>
      <c r="F32" s="7" t="str">
        <f t="shared" si="4"/>
        <v>NO</v>
      </c>
      <c r="G32" s="8"/>
      <c r="H32" s="7"/>
    </row>
    <row r="33" spans="1:8" x14ac:dyDescent="0.35">
      <c r="A33" s="5">
        <v>50</v>
      </c>
      <c r="B33" s="6">
        <v>0.23799999999999999</v>
      </c>
      <c r="C33" s="6">
        <v>24</v>
      </c>
      <c r="D33" s="17">
        <f t="shared" si="5"/>
        <v>100.84033613445379</v>
      </c>
      <c r="E33" s="17">
        <f t="shared" si="3"/>
        <v>40.072685693101882</v>
      </c>
      <c r="F33" s="7" t="str">
        <f t="shared" si="4"/>
        <v>NO</v>
      </c>
      <c r="G33" s="8"/>
      <c r="H33" s="7"/>
    </row>
    <row r="34" spans="1:8" x14ac:dyDescent="0.35">
      <c r="A34" s="5">
        <v>100</v>
      </c>
      <c r="B34" s="6">
        <v>0.23799999999999999</v>
      </c>
      <c r="C34" s="6">
        <v>24</v>
      </c>
      <c r="D34" s="17">
        <f t="shared" si="5"/>
        <v>100.84033613445379</v>
      </c>
      <c r="E34" s="17">
        <f t="shared" si="3"/>
        <v>40.072685693101882</v>
      </c>
      <c r="F34" s="7" t="str">
        <f t="shared" si="4"/>
        <v>NO</v>
      </c>
      <c r="G34" s="8"/>
      <c r="H34" s="7"/>
    </row>
    <row r="35" spans="1:8" x14ac:dyDescent="0.35">
      <c r="A35" s="5">
        <v>300</v>
      </c>
      <c r="B35" s="6">
        <v>0.23799999999999999</v>
      </c>
      <c r="C35" s="6">
        <v>24</v>
      </c>
      <c r="D35" s="17">
        <f t="shared" si="5"/>
        <v>100.84033613445379</v>
      </c>
      <c r="E35" s="17">
        <f t="shared" si="3"/>
        <v>40.072685693101882</v>
      </c>
      <c r="F35" s="7" t="str">
        <f t="shared" si="4"/>
        <v>NO</v>
      </c>
      <c r="G35" s="8"/>
      <c r="H35" s="7"/>
    </row>
    <row r="36" spans="1:8" x14ac:dyDescent="0.35">
      <c r="A36" s="5">
        <v>500</v>
      </c>
      <c r="B36" s="6">
        <v>0.23599999999999999</v>
      </c>
      <c r="C36" s="6">
        <v>24</v>
      </c>
      <c r="D36" s="17">
        <f t="shared" si="5"/>
        <v>101.69491525423729</v>
      </c>
      <c r="E36" s="17">
        <f t="shared" si="3"/>
        <v>40.145984774829991</v>
      </c>
      <c r="F36" s="7" t="str">
        <f t="shared" si="4"/>
        <v>NO</v>
      </c>
      <c r="G36" s="8"/>
      <c r="H36" s="7"/>
    </row>
    <row r="37" spans="1:8" x14ac:dyDescent="0.35">
      <c r="A37" s="5">
        <v>1000</v>
      </c>
      <c r="B37" s="13">
        <v>0.23599999999999999</v>
      </c>
      <c r="C37" s="13">
        <v>24</v>
      </c>
      <c r="D37" s="17">
        <f t="shared" si="5"/>
        <v>101.69491525423729</v>
      </c>
      <c r="E37" s="17">
        <f t="shared" si="3"/>
        <v>40.145984774829991</v>
      </c>
      <c r="F37" s="7" t="str">
        <f t="shared" si="4"/>
        <v>NO</v>
      </c>
      <c r="G37" s="8"/>
      <c r="H37" s="7"/>
    </row>
    <row r="38" spans="1:8" x14ac:dyDescent="0.35">
      <c r="A38" s="5">
        <v>3000</v>
      </c>
      <c r="B38" s="6">
        <v>0.24199999999999999</v>
      </c>
      <c r="C38" s="6">
        <v>24.2</v>
      </c>
      <c r="D38" s="17">
        <f t="shared" si="5"/>
        <v>100</v>
      </c>
      <c r="E38" s="17">
        <f t="shared" si="3"/>
        <v>40</v>
      </c>
      <c r="F38" s="7" t="str">
        <f t="shared" si="4"/>
        <v>NO</v>
      </c>
      <c r="G38" s="8"/>
      <c r="H38" s="7"/>
    </row>
    <row r="39" spans="1:8" x14ac:dyDescent="0.35">
      <c r="A39" s="5">
        <v>5000</v>
      </c>
      <c r="B39" s="6">
        <v>0.24199999999999999</v>
      </c>
      <c r="C39" s="6">
        <v>23.8</v>
      </c>
      <c r="D39" s="17">
        <f t="shared" si="5"/>
        <v>98.347107438016536</v>
      </c>
      <c r="E39" s="17">
        <f t="shared" si="3"/>
        <v>39.855231821521613</v>
      </c>
      <c r="F39" s="7" t="str">
        <f t="shared" si="4"/>
        <v>NO</v>
      </c>
      <c r="G39" s="8"/>
      <c r="H39" s="7"/>
    </row>
    <row r="40" spans="1:8" x14ac:dyDescent="0.35">
      <c r="A40" s="5">
        <v>10000</v>
      </c>
      <c r="B40" s="13">
        <v>0.24399999999999999</v>
      </c>
      <c r="C40" s="13">
        <v>22.4</v>
      </c>
      <c r="D40" s="19">
        <f t="shared" si="5"/>
        <v>91.803278688524586</v>
      </c>
      <c r="E40" s="19">
        <f t="shared" si="3"/>
        <v>39.257163839908664</v>
      </c>
      <c r="F40" s="14" t="str">
        <f t="shared" si="4"/>
        <v>NO</v>
      </c>
      <c r="G40" s="14"/>
      <c r="H40" s="14"/>
    </row>
    <row r="41" spans="1:8" x14ac:dyDescent="0.35">
      <c r="A41" s="5">
        <v>20000</v>
      </c>
      <c r="B41" s="6">
        <v>0.246</v>
      </c>
      <c r="C41" s="6">
        <v>18.600000000000001</v>
      </c>
      <c r="D41" s="17">
        <f t="shared" si="5"/>
        <v>75.609756097560989</v>
      </c>
      <c r="E41" s="17">
        <f t="shared" si="3"/>
        <v>37.571556742290745</v>
      </c>
      <c r="F41" s="7" t="str">
        <f t="shared" si="4"/>
        <v>NO</v>
      </c>
      <c r="G41" s="8"/>
      <c r="H41" s="7"/>
    </row>
    <row r="42" spans="1:8" x14ac:dyDescent="0.35">
      <c r="A42" s="5">
        <v>30000</v>
      </c>
      <c r="B42" s="6">
        <v>0.248</v>
      </c>
      <c r="C42" s="6">
        <v>15.2</v>
      </c>
      <c r="D42" s="17">
        <f t="shared" si="5"/>
        <v>61.29032258064516</v>
      </c>
      <c r="E42" s="17">
        <f t="shared" si="3"/>
        <v>35.747838142371123</v>
      </c>
      <c r="F42" s="7" t="str">
        <f t="shared" si="4"/>
        <v>NO</v>
      </c>
      <c r="G42" s="8"/>
      <c r="H42" s="7"/>
    </row>
    <row r="43" spans="1:8" x14ac:dyDescent="0.35">
      <c r="A43" s="5">
        <v>50000</v>
      </c>
      <c r="B43" s="6">
        <v>0.25</v>
      </c>
      <c r="C43" s="6">
        <v>10.4</v>
      </c>
      <c r="D43" s="17">
        <f t="shared" si="5"/>
        <v>41.6</v>
      </c>
      <c r="E43" s="17">
        <f t="shared" si="3"/>
        <v>32.381866612534857</v>
      </c>
      <c r="F43" s="7" t="str">
        <f t="shared" si="4"/>
        <v>NO</v>
      </c>
      <c r="G43" s="8"/>
      <c r="H43" s="7"/>
    </row>
    <row r="44" spans="1:8" x14ac:dyDescent="0.35">
      <c r="A44" s="5">
        <v>100000</v>
      </c>
      <c r="B44" s="6">
        <v>0.252</v>
      </c>
      <c r="C44" s="6">
        <v>6</v>
      </c>
      <c r="D44" s="17">
        <f t="shared" si="5"/>
        <v>23.80952380952381</v>
      </c>
      <c r="E44" s="17">
        <f t="shared" si="3"/>
        <v>27.535014192041988</v>
      </c>
      <c r="F44" s="7" t="str">
        <f t="shared" si="4"/>
        <v>NO</v>
      </c>
      <c r="G44" s="8"/>
      <c r="H44" s="7"/>
    </row>
    <row r="45" spans="1:8" x14ac:dyDescent="0.35">
      <c r="A45" s="5">
        <v>200000</v>
      </c>
      <c r="B45" s="6">
        <v>0.252</v>
      </c>
      <c r="C45" s="6">
        <v>3.2</v>
      </c>
      <c r="D45" s="17">
        <f t="shared" si="5"/>
        <v>12.698412698412699</v>
      </c>
      <c r="E45" s="17">
        <f t="shared" si="3"/>
        <v>22.074988750767236</v>
      </c>
      <c r="F45" s="7" t="str">
        <f t="shared" si="4"/>
        <v>NO</v>
      </c>
      <c r="G45" s="8"/>
      <c r="H45" s="7"/>
    </row>
    <row r="46" spans="1:8" x14ac:dyDescent="0.35">
      <c r="A46" s="5">
        <v>300000</v>
      </c>
      <c r="B46" s="6">
        <v>0.252</v>
      </c>
      <c r="C46" s="6">
        <v>2.4</v>
      </c>
      <c r="D46" s="17">
        <f t="shared" si="5"/>
        <v>9.5238095238095237</v>
      </c>
      <c r="E46" s="17">
        <f t="shared" si="3"/>
        <v>19.576214018601238</v>
      </c>
      <c r="F46" s="7" t="str">
        <f t="shared" si="4"/>
        <v>NO</v>
      </c>
      <c r="G46" s="8"/>
      <c r="H46" s="7"/>
    </row>
    <row r="47" spans="1:8" x14ac:dyDescent="0.35">
      <c r="A47" s="5">
        <v>500000</v>
      </c>
      <c r="B47" s="6">
        <v>0.25</v>
      </c>
      <c r="C47" s="6">
        <v>1.6</v>
      </c>
      <c r="D47" s="17">
        <f t="shared" si="5"/>
        <v>6.4</v>
      </c>
      <c r="E47" s="17">
        <f t="shared" si="3"/>
        <v>16.123599479677743</v>
      </c>
      <c r="F47" s="7" t="str">
        <f t="shared" si="4"/>
        <v>NO</v>
      </c>
      <c r="G47" s="8"/>
      <c r="H47" s="7"/>
    </row>
    <row r="48" spans="1:8" x14ac:dyDescent="0.35">
      <c r="A48" s="5">
        <v>1000000</v>
      </c>
      <c r="B48" s="6">
        <v>0.246</v>
      </c>
      <c r="C48" s="6">
        <v>1.2</v>
      </c>
      <c r="D48" s="17">
        <f t="shared" si="5"/>
        <v>4.8780487804878048</v>
      </c>
      <c r="E48" s="17">
        <f t="shared" si="3"/>
        <v>13.764922778884914</v>
      </c>
      <c r="F48" s="7" t="str">
        <f t="shared" si="4"/>
        <v>NO</v>
      </c>
      <c r="G48" s="8"/>
      <c r="H48" s="7"/>
    </row>
  </sheetData>
  <mergeCells count="1">
    <mergeCell ref="A1:H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workbookViewId="0">
      <selection activeCell="I46" sqref="I46"/>
    </sheetView>
  </sheetViews>
  <sheetFormatPr defaultRowHeight="14.5" x14ac:dyDescent="0.35"/>
  <cols>
    <col min="1" max="1" width="22" customWidth="1"/>
    <col min="2" max="2" width="28" customWidth="1"/>
    <col min="3" max="7" width="3" customWidth="1"/>
  </cols>
  <sheetData>
    <row r="1" spans="1:7" x14ac:dyDescent="0.35">
      <c r="A1" s="22" t="s">
        <v>28</v>
      </c>
      <c r="B1" s="21"/>
      <c r="C1" s="21"/>
      <c r="D1" s="21"/>
      <c r="E1" s="21"/>
      <c r="F1" s="21"/>
      <c r="G1" s="21"/>
    </row>
    <row r="3" spans="1:7" x14ac:dyDescent="0.35">
      <c r="A3" s="24" t="s">
        <v>29</v>
      </c>
      <c r="B3" s="21"/>
      <c r="C3" s="21"/>
      <c r="D3" s="21"/>
      <c r="E3" s="21"/>
      <c r="F3" s="21"/>
      <c r="G3" s="21"/>
    </row>
    <row r="5" spans="1:7" x14ac:dyDescent="0.35">
      <c r="A5" s="1" t="s">
        <v>30</v>
      </c>
      <c r="B5" s="20" t="s">
        <v>31</v>
      </c>
      <c r="C5" s="21"/>
      <c r="D5" s="21"/>
      <c r="E5" s="21"/>
      <c r="F5" s="21"/>
      <c r="G5" s="21"/>
    </row>
    <row r="6" spans="1:7" x14ac:dyDescent="0.35">
      <c r="A6" s="1" t="s">
        <v>32</v>
      </c>
      <c r="B6" s="1">
        <v>3000</v>
      </c>
    </row>
    <row r="7" spans="1:7" x14ac:dyDescent="0.35">
      <c r="A7" s="1" t="s">
        <v>33</v>
      </c>
      <c r="B7" s="1">
        <v>10000</v>
      </c>
    </row>
    <row r="8" spans="1:7" x14ac:dyDescent="0.35">
      <c r="A8" s="1" t="s">
        <v>34</v>
      </c>
      <c r="B8" s="9">
        <f>1+(B7/B6)</f>
        <v>4.3333333333333339</v>
      </c>
    </row>
    <row r="9" spans="1:7" x14ac:dyDescent="0.35">
      <c r="A9" s="1" t="s">
        <v>35</v>
      </c>
      <c r="B9" s="10"/>
    </row>
    <row r="10" spans="1:7" x14ac:dyDescent="0.35">
      <c r="A10" s="1" t="s">
        <v>36</v>
      </c>
      <c r="B10" s="10"/>
    </row>
    <row r="11" spans="1:7" x14ac:dyDescent="0.35">
      <c r="A11" s="1" t="s">
        <v>37</v>
      </c>
      <c r="B11" s="9" t="str">
        <f>IF(OR(B9="",B10=""),"",B10/B9)</f>
        <v/>
      </c>
    </row>
    <row r="12" spans="1:7" x14ac:dyDescent="0.35">
      <c r="A12" s="1" t="s">
        <v>38</v>
      </c>
      <c r="B12" s="1" t="str">
        <f>IF(B11="","",IF(ABS(B11-B8)/B8&lt;0.1,"YES (within 10%)","CHECK"))</f>
        <v/>
      </c>
    </row>
    <row r="13" spans="1:7" ht="30" customHeight="1" x14ac:dyDescent="0.35">
      <c r="A13" s="1" t="s">
        <v>39</v>
      </c>
      <c r="B13" s="11"/>
    </row>
    <row r="14" spans="1:7" x14ac:dyDescent="0.35">
      <c r="A14" t="s">
        <v>18</v>
      </c>
      <c r="B14" s="25"/>
      <c r="C14" s="21"/>
      <c r="D14" s="21"/>
      <c r="E14" s="21"/>
      <c r="F14" s="21"/>
      <c r="G14" s="21"/>
    </row>
    <row r="15" spans="1:7" x14ac:dyDescent="0.35">
      <c r="B15" s="21"/>
      <c r="C15" s="21"/>
      <c r="D15" s="21"/>
      <c r="E15" s="21"/>
      <c r="F15" s="21"/>
      <c r="G15" s="21"/>
    </row>
    <row r="16" spans="1:7" x14ac:dyDescent="0.35">
      <c r="B16" s="21"/>
      <c r="C16" s="21"/>
      <c r="D16" s="21"/>
      <c r="E16" s="21"/>
      <c r="F16" s="21"/>
      <c r="G16" s="21"/>
    </row>
  </sheetData>
  <mergeCells count="4">
    <mergeCell ref="B5:G5"/>
    <mergeCell ref="A3:G3"/>
    <mergeCell ref="A1:G1"/>
    <mergeCell ref="B14:G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>
      <selection activeCell="J38" sqref="J38:J39"/>
    </sheetView>
  </sheetViews>
  <sheetFormatPr defaultRowHeight="14.5" x14ac:dyDescent="0.35"/>
  <cols>
    <col min="1" max="1" width="22" customWidth="1"/>
    <col min="2" max="2" width="28" customWidth="1"/>
    <col min="3" max="7" width="3" customWidth="1"/>
  </cols>
  <sheetData>
    <row r="1" spans="1:7" x14ac:dyDescent="0.35">
      <c r="A1" s="22" t="s">
        <v>40</v>
      </c>
      <c r="B1" s="21"/>
      <c r="C1" s="21"/>
      <c r="D1" s="21"/>
      <c r="E1" s="21"/>
      <c r="F1" s="21"/>
      <c r="G1" s="21"/>
    </row>
    <row r="3" spans="1:7" x14ac:dyDescent="0.35">
      <c r="A3" s="24" t="s">
        <v>29</v>
      </c>
      <c r="B3" s="21"/>
      <c r="C3" s="21"/>
      <c r="D3" s="21"/>
      <c r="E3" s="21"/>
      <c r="F3" s="21"/>
      <c r="G3" s="21"/>
    </row>
    <row r="5" spans="1:7" x14ac:dyDescent="0.35">
      <c r="A5" s="1" t="s">
        <v>30</v>
      </c>
      <c r="B5" s="20" t="s">
        <v>31</v>
      </c>
      <c r="C5" s="21"/>
      <c r="D5" s="21"/>
      <c r="E5" s="21"/>
      <c r="F5" s="21"/>
      <c r="G5" s="21"/>
    </row>
    <row r="6" spans="1:7" x14ac:dyDescent="0.35">
      <c r="A6" s="1" t="s">
        <v>32</v>
      </c>
      <c r="B6" s="1">
        <v>10000</v>
      </c>
    </row>
    <row r="7" spans="1:7" x14ac:dyDescent="0.35">
      <c r="A7" s="1" t="s">
        <v>33</v>
      </c>
      <c r="B7" s="1">
        <v>10000</v>
      </c>
    </row>
    <row r="8" spans="1:7" x14ac:dyDescent="0.35">
      <c r="A8" s="1" t="s">
        <v>34</v>
      </c>
      <c r="B8" s="9">
        <f>1+(B7/B6)</f>
        <v>2</v>
      </c>
    </row>
    <row r="9" spans="1:7" x14ac:dyDescent="0.35">
      <c r="A9" s="1" t="s">
        <v>35</v>
      </c>
      <c r="B9" s="10"/>
    </row>
    <row r="10" spans="1:7" x14ac:dyDescent="0.35">
      <c r="A10" s="1" t="s">
        <v>36</v>
      </c>
      <c r="B10" s="10"/>
    </row>
    <row r="11" spans="1:7" x14ac:dyDescent="0.35">
      <c r="A11" s="1" t="s">
        <v>37</v>
      </c>
      <c r="B11" s="9" t="str">
        <f>IF(OR(B9="",B10=""),"",B10/B9)</f>
        <v/>
      </c>
    </row>
    <row r="12" spans="1:7" x14ac:dyDescent="0.35">
      <c r="A12" s="1" t="s">
        <v>38</v>
      </c>
      <c r="B12" s="1" t="str">
        <f>IF(B11="","",IF(ABS(B11-B8)/B8&lt;0.1,"YES (within 10%)","CHECK"))</f>
        <v/>
      </c>
    </row>
    <row r="13" spans="1:7" ht="30" customHeight="1" x14ac:dyDescent="0.35">
      <c r="A13" s="1" t="s">
        <v>39</v>
      </c>
      <c r="B13" s="11"/>
    </row>
    <row r="14" spans="1:7" x14ac:dyDescent="0.35">
      <c r="A14" t="s">
        <v>18</v>
      </c>
      <c r="B14" s="25"/>
      <c r="C14" s="21"/>
      <c r="D14" s="21"/>
      <c r="E14" s="21"/>
      <c r="F14" s="21"/>
      <c r="G14" s="21"/>
    </row>
    <row r="15" spans="1:7" x14ac:dyDescent="0.35">
      <c r="B15" s="21"/>
      <c r="C15" s="21"/>
      <c r="D15" s="21"/>
      <c r="E15" s="21"/>
      <c r="F15" s="21"/>
      <c r="G15" s="21"/>
    </row>
    <row r="16" spans="1:7" x14ac:dyDescent="0.35">
      <c r="B16" s="21"/>
      <c r="C16" s="21"/>
      <c r="D16" s="21"/>
      <c r="E16" s="21"/>
      <c r="F16" s="21"/>
      <c r="G16" s="21"/>
    </row>
  </sheetData>
  <mergeCells count="4">
    <mergeCell ref="B5:G5"/>
    <mergeCell ref="A3:G3"/>
    <mergeCell ref="A1:G1"/>
    <mergeCell ref="B14:G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How_to_Use</vt:lpstr>
      <vt:lpstr>Inverting Amplifer (Gain of 10)</vt:lpstr>
      <vt:lpstr>Inverting Amplifer(Gain of 100)</vt:lpstr>
      <vt:lpstr>Combined_Chart</vt:lpstr>
      <vt:lpstr>NonInv_Rin3k</vt:lpstr>
      <vt:lpstr>NonInv_Rin10k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240191278@aston.ac.uk</dc:creator>
  <cp:lastModifiedBy>Isaac Adjei (Student)</cp:lastModifiedBy>
  <dcterms:created xsi:type="dcterms:W3CDTF">2026-01-15T05:43:52Z</dcterms:created>
  <dcterms:modified xsi:type="dcterms:W3CDTF">2026-02-21T18:16:13Z</dcterms:modified>
</cp:coreProperties>
</file>